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285" windowWidth="14805" windowHeight="7830" firstSheet="4" activeTab="6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E19" i="7" l="1"/>
  <c r="D19" i="7"/>
  <c r="E12" i="7"/>
  <c r="D12" i="7"/>
  <c r="E6" i="7"/>
  <c r="D6" i="7"/>
  <c r="E4" i="7"/>
  <c r="D4" i="7"/>
  <c r="C19" i="7"/>
  <c r="C12" i="7"/>
  <c r="C6" i="7"/>
  <c r="C4" i="7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E11" i="9" l="1"/>
  <c r="E16" i="7" s="1"/>
  <c r="D11" i="9"/>
  <c r="D16" i="7" s="1"/>
  <c r="C11" i="9"/>
  <c r="C16" i="7" s="1"/>
  <c r="E8" i="9"/>
  <c r="E8" i="7" s="1"/>
  <c r="E14" i="7" s="1"/>
  <c r="D8" i="9"/>
  <c r="D8" i="7" s="1"/>
  <c r="D14" i="7" s="1"/>
  <c r="C8" i="9"/>
  <c r="C8" i="7" s="1"/>
  <c r="C14" i="7" s="1"/>
  <c r="E5" i="9"/>
  <c r="E9" i="7" s="1"/>
  <c r="D5" i="9"/>
  <c r="D9" i="7" s="1"/>
  <c r="C5" i="9"/>
  <c r="C9" i="7" s="1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E51" i="8" l="1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C8" i="5" l="1"/>
  <c r="C12" i="9"/>
  <c r="C9" i="9"/>
  <c r="D11" i="5"/>
  <c r="E14" i="5"/>
  <c r="C18" i="5"/>
  <c r="D18" i="5"/>
  <c r="D8" i="5"/>
  <c r="D12" i="9"/>
  <c r="D9" i="9"/>
  <c r="E8" i="5"/>
  <c r="E12" i="9"/>
  <c r="E9" i="9"/>
  <c r="C14" i="5"/>
  <c r="D17" i="5"/>
  <c r="D40" i="8"/>
  <c r="E18" i="5"/>
  <c r="E11" i="5"/>
  <c r="C11" i="5"/>
  <c r="D14" i="5"/>
  <c r="E17" i="5"/>
  <c r="E40" i="8"/>
  <c r="G39" i="8"/>
  <c r="E16" i="8"/>
  <c r="E15" i="8"/>
  <c r="D15" i="8"/>
  <c r="D5" i="5" s="1"/>
  <c r="C15" i="8"/>
  <c r="C5" i="5" s="1"/>
  <c r="E5" i="5" l="1"/>
  <c r="G15" i="8"/>
  <c r="H39" i="8"/>
  <c r="G17" i="5"/>
  <c r="D16" i="8"/>
  <c r="I12" i="9"/>
  <c r="H12" i="9"/>
  <c r="K12" i="9"/>
  <c r="G12" i="9"/>
  <c r="J12" i="9"/>
  <c r="J9" i="9"/>
  <c r="I9" i="9"/>
  <c r="H9" i="9"/>
  <c r="K9" i="9"/>
  <c r="G9" i="9"/>
  <c r="K10" i="8"/>
  <c r="J10" i="8"/>
  <c r="I10" i="8"/>
  <c r="H10" i="8"/>
  <c r="G10" i="8"/>
  <c r="I39" i="8" l="1"/>
  <c r="H17" i="5"/>
  <c r="H15" i="8"/>
  <c r="G5" i="5"/>
  <c r="E10" i="8"/>
  <c r="E9" i="8"/>
  <c r="G9" i="8" s="1"/>
  <c r="D9" i="8"/>
  <c r="C9" i="8"/>
  <c r="H9" i="8" l="1"/>
  <c r="G4" i="5"/>
  <c r="G6" i="5" s="1"/>
  <c r="G45" i="8"/>
  <c r="G18" i="5" s="1"/>
  <c r="G27" i="8"/>
  <c r="G11" i="5" s="1"/>
  <c r="G21" i="8"/>
  <c r="G33" i="8"/>
  <c r="G14" i="5" s="1"/>
  <c r="J39" i="8"/>
  <c r="I17" i="5"/>
  <c r="C4" i="5"/>
  <c r="C6" i="5" s="1"/>
  <c r="C9" i="5" s="1"/>
  <c r="C12" i="5" s="1"/>
  <c r="C15" i="5" s="1"/>
  <c r="C19" i="5" s="1"/>
  <c r="C18" i="9"/>
  <c r="C21" i="9"/>
  <c r="C15" i="9"/>
  <c r="C6" i="9"/>
  <c r="C46" i="8"/>
  <c r="C22" i="8"/>
  <c r="C34" i="8"/>
  <c r="C28" i="8"/>
  <c r="D4" i="5"/>
  <c r="D6" i="5" s="1"/>
  <c r="D9" i="5" s="1"/>
  <c r="D12" i="5" s="1"/>
  <c r="D15" i="5" s="1"/>
  <c r="D19" i="5" s="1"/>
  <c r="D21" i="9"/>
  <c r="D18" i="9"/>
  <c r="D15" i="9"/>
  <c r="D6" i="9"/>
  <c r="D46" i="8"/>
  <c r="D28" i="8"/>
  <c r="D22" i="8"/>
  <c r="D34" i="8"/>
  <c r="I15" i="8"/>
  <c r="H5" i="5"/>
  <c r="E4" i="5"/>
  <c r="E6" i="5" s="1"/>
  <c r="E9" i="5" s="1"/>
  <c r="E12" i="5" s="1"/>
  <c r="E15" i="5" s="1"/>
  <c r="E19" i="5" s="1"/>
  <c r="E21" i="9"/>
  <c r="E15" i="9"/>
  <c r="E18" i="9"/>
  <c r="E6" i="9"/>
  <c r="E22" i="8"/>
  <c r="E28" i="8"/>
  <c r="E34" i="8"/>
  <c r="E46" i="8"/>
  <c r="D10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K6" i="9" l="1"/>
  <c r="G6" i="9"/>
  <c r="G5" i="9" s="1"/>
  <c r="J6" i="9"/>
  <c r="I6" i="9"/>
  <c r="H6" i="9"/>
  <c r="H5" i="9" s="1"/>
  <c r="H15" i="9"/>
  <c r="H14" i="9" s="1"/>
  <c r="K15" i="9"/>
  <c r="G15" i="9"/>
  <c r="G14" i="9" s="1"/>
  <c r="J15" i="9"/>
  <c r="I15" i="9"/>
  <c r="J15" i="8"/>
  <c r="I5" i="5"/>
  <c r="J21" i="9"/>
  <c r="I21" i="9"/>
  <c r="H21" i="9"/>
  <c r="H20" i="9" s="1"/>
  <c r="K21" i="9"/>
  <c r="G21" i="9"/>
  <c r="G20" i="9" s="1"/>
  <c r="K39" i="8"/>
  <c r="K17" i="5" s="1"/>
  <c r="J17" i="5"/>
  <c r="D24" i="5"/>
  <c r="D22" i="5"/>
  <c r="K18" i="9"/>
  <c r="G18" i="9"/>
  <c r="G17" i="9" s="1"/>
  <c r="J18" i="9"/>
  <c r="I18" i="9"/>
  <c r="H18" i="9"/>
  <c r="H17" i="9" s="1"/>
  <c r="E24" i="5"/>
  <c r="E22" i="5"/>
  <c r="C24" i="5"/>
  <c r="C22" i="5"/>
  <c r="G8" i="5"/>
  <c r="G9" i="5" s="1"/>
  <c r="G12" i="5" s="1"/>
  <c r="G15" i="5" s="1"/>
  <c r="G19" i="5" s="1"/>
  <c r="G11" i="9"/>
  <c r="G8" i="9"/>
  <c r="I9" i="8"/>
  <c r="H4" i="5"/>
  <c r="H6" i="5" s="1"/>
  <c r="H45" i="8"/>
  <c r="H18" i="5" s="1"/>
  <c r="H27" i="8"/>
  <c r="H11" i="5" s="1"/>
  <c r="H21" i="8"/>
  <c r="H33" i="8"/>
  <c r="H14" i="5" s="1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G21" i="5" l="1"/>
  <c r="G24" i="5" s="1"/>
  <c r="I5" i="9"/>
  <c r="H8" i="5"/>
  <c r="H9" i="5" s="1"/>
  <c r="H12" i="5" s="1"/>
  <c r="H15" i="5" s="1"/>
  <c r="H19" i="5" s="1"/>
  <c r="H8" i="9"/>
  <c r="H11" i="9"/>
  <c r="J9" i="8"/>
  <c r="J17" i="9" s="1"/>
  <c r="I4" i="5"/>
  <c r="I6" i="5" s="1"/>
  <c r="I45" i="8"/>
  <c r="I18" i="5" s="1"/>
  <c r="I27" i="8"/>
  <c r="I11" i="5" s="1"/>
  <c r="I33" i="8"/>
  <c r="I14" i="5" s="1"/>
  <c r="I21" i="8"/>
  <c r="K15" i="8"/>
  <c r="K5" i="5" s="1"/>
  <c r="J5" i="5"/>
  <c r="J5" i="9"/>
  <c r="I20" i="9"/>
  <c r="I14" i="9"/>
  <c r="I17" i="9"/>
  <c r="J20" i="9"/>
  <c r="J14" i="9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D23" i="7" s="1"/>
  <c r="D26" i="7" s="1"/>
  <c r="J8" i="3"/>
  <c r="C21" i="7" s="1"/>
  <c r="C23" i="7" s="1"/>
  <c r="C26" i="7" s="1"/>
  <c r="H21" i="5" l="1"/>
  <c r="H24" i="5" s="1"/>
  <c r="I8" i="5"/>
  <c r="I9" i="5" s="1"/>
  <c r="I12" i="5" s="1"/>
  <c r="I15" i="5" s="1"/>
  <c r="I19" i="5" s="1"/>
  <c r="I11" i="9"/>
  <c r="I8" i="9"/>
  <c r="E23" i="7"/>
  <c r="E26" i="7" s="1"/>
  <c r="K9" i="8"/>
  <c r="J4" i="5"/>
  <c r="J6" i="5" s="1"/>
  <c r="J45" i="8"/>
  <c r="J18" i="5" s="1"/>
  <c r="J27" i="8"/>
  <c r="J11" i="5" s="1"/>
  <c r="J21" i="8"/>
  <c r="J33" i="8"/>
  <c r="J14" i="5" s="1"/>
  <c r="D19" i="3"/>
  <c r="F19" i="3"/>
  <c r="L19" i="3"/>
  <c r="J19" i="3"/>
  <c r="K19" i="3"/>
  <c r="E19" i="3"/>
  <c r="I21" i="5" l="1"/>
  <c r="I24" i="5" s="1"/>
  <c r="J8" i="5"/>
  <c r="J9" i="5" s="1"/>
  <c r="J12" i="5" s="1"/>
  <c r="J15" i="5" s="1"/>
  <c r="J19" i="5" s="1"/>
  <c r="J8" i="9"/>
  <c r="J11" i="9"/>
  <c r="K4" i="5"/>
  <c r="K6" i="5" s="1"/>
  <c r="K45" i="8"/>
  <c r="K18" i="5" s="1"/>
  <c r="K27" i="8"/>
  <c r="K11" i="5" s="1"/>
  <c r="K33" i="8"/>
  <c r="K14" i="5" s="1"/>
  <c r="K21" i="8"/>
  <c r="K20" i="9"/>
  <c r="K17" i="9"/>
  <c r="K5" i="9"/>
  <c r="K14" i="9"/>
  <c r="L22" i="3"/>
  <c r="K22" i="3"/>
  <c r="J22" i="3"/>
  <c r="J21" i="5" l="1"/>
  <c r="J24" i="5" s="1"/>
  <c r="K8" i="5"/>
  <c r="K9" i="5" s="1"/>
  <c r="K12" i="5" s="1"/>
  <c r="K15" i="5" s="1"/>
  <c r="K19" i="5" s="1"/>
  <c r="K11" i="9"/>
  <c r="K8" i="9"/>
  <c r="K21" i="5" l="1"/>
  <c r="K24" i="5" s="1"/>
</calcChain>
</file>

<file path=xl/sharedStrings.xml><?xml version="1.0" encoding="utf-8"?>
<sst xmlns="http://schemas.openxmlformats.org/spreadsheetml/2006/main" count="234" uniqueCount="111">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</sst>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9" t="s">
        <v>26</v>
      </c>
    </row>
    <row r="7" spans="2:3">
      <c r="B7" s="29">
        <f t="shared" ref="B7:B21" si="0">B6+1</f>
        <v>3</v>
      </c>
      <c r="C7" s="69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9" t="s">
        <v>6</v>
      </c>
    </row>
    <row r="10" spans="2:3">
      <c r="B10" s="29">
        <f t="shared" si="0"/>
        <v>6</v>
      </c>
      <c r="C10" s="69" t="s">
        <v>25</v>
      </c>
    </row>
    <row r="11" spans="2:3">
      <c r="B11" s="29">
        <f t="shared" si="0"/>
        <v>7</v>
      </c>
      <c r="C11" s="69" t="s">
        <v>28</v>
      </c>
    </row>
    <row r="12" spans="2:3">
      <c r="B12" s="29">
        <f t="shared" si="0"/>
        <v>8</v>
      </c>
      <c r="C12" s="69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9" t="s">
        <v>72</v>
      </c>
    </row>
    <row r="15" spans="2:3">
      <c r="B15" s="29">
        <f t="shared" si="0"/>
        <v>11</v>
      </c>
      <c r="C15" s="69" t="s">
        <v>69</v>
      </c>
    </row>
    <row r="16" spans="2:3">
      <c r="B16" s="29">
        <f t="shared" si="0"/>
        <v>12</v>
      </c>
      <c r="C16" s="69" t="s">
        <v>73</v>
      </c>
    </row>
    <row r="17" spans="2:3">
      <c r="B17" s="29">
        <f t="shared" si="0"/>
        <v>13</v>
      </c>
      <c r="C17" s="69" t="s">
        <v>74</v>
      </c>
    </row>
    <row r="18" spans="2:3">
      <c r="B18" s="29">
        <f t="shared" si="0"/>
        <v>14</v>
      </c>
      <c r="C18" s="69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9" t="s">
        <v>1</v>
      </c>
    </row>
    <row r="21" spans="2:3">
      <c r="B21" s="29">
        <f t="shared" si="0"/>
        <v>17</v>
      </c>
      <c r="C21" s="69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5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6"/>
      <c r="D11" s="76"/>
      <c r="E11" s="76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6"/>
      <c r="D12" s="76"/>
      <c r="E12" s="76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6"/>
      <c r="D13" s="76"/>
      <c r="E13" s="76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6"/>
      <c r="D17" s="76"/>
      <c r="E17" s="76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6"/>
      <c r="D18" s="76"/>
      <c r="E18" s="76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6"/>
      <c r="D19" s="76"/>
      <c r="E19" s="76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6"/>
      <c r="D23" s="76"/>
      <c r="E23" s="76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6"/>
      <c r="D24" s="76"/>
      <c r="E24" s="76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6"/>
      <c r="D25" s="76"/>
      <c r="E25" s="76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6"/>
      <c r="D29" s="76"/>
      <c r="E29" s="76"/>
      <c r="G29" s="77">
        <v>-0.1</v>
      </c>
      <c r="H29" s="77">
        <v>-0.1</v>
      </c>
      <c r="I29" s="77">
        <v>-0.1</v>
      </c>
      <c r="J29" s="77">
        <v>-0.1</v>
      </c>
      <c r="K29" s="77">
        <v>-0.1</v>
      </c>
    </row>
    <row r="30" spans="2:11" ht="12" customHeight="1">
      <c r="B30" s="7" t="s">
        <v>89</v>
      </c>
      <c r="C30" s="76"/>
      <c r="D30" s="76"/>
      <c r="E30" s="76"/>
      <c r="G30" s="77">
        <v>-0.105</v>
      </c>
      <c r="H30" s="77">
        <v>-0.105</v>
      </c>
      <c r="I30" s="77">
        <v>-0.105</v>
      </c>
      <c r="J30" s="77">
        <v>-0.105</v>
      </c>
      <c r="K30" s="77">
        <v>-0.105</v>
      </c>
    </row>
    <row r="31" spans="2:11" ht="12" customHeight="1">
      <c r="B31" s="7" t="s">
        <v>90</v>
      </c>
      <c r="C31" s="76"/>
      <c r="D31" s="76"/>
      <c r="E31" s="76"/>
      <c r="G31" s="77">
        <v>-0.11</v>
      </c>
      <c r="H31" s="77">
        <v>-0.11</v>
      </c>
      <c r="I31" s="77">
        <v>-0.11</v>
      </c>
      <c r="J31" s="77">
        <v>-0.11</v>
      </c>
      <c r="K31" s="77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6"/>
      <c r="D35" s="76"/>
      <c r="E35" s="76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6"/>
      <c r="D36" s="76"/>
      <c r="E36" s="76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6"/>
      <c r="D37" s="76"/>
      <c r="E37" s="76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6"/>
      <c r="D41" s="76"/>
      <c r="E41" s="76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6"/>
      <c r="D42" s="76"/>
      <c r="E42" s="76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6"/>
      <c r="D43" s="76"/>
      <c r="E43" s="76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6"/>
      <c r="D47" s="76"/>
      <c r="E47" s="76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6"/>
      <c r="D48" s="76"/>
      <c r="E48" s="76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6"/>
      <c r="D49" s="76"/>
      <c r="E49" s="76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6"/>
      <c r="D53" s="76"/>
      <c r="E53" s="76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6"/>
      <c r="D54" s="76"/>
      <c r="E54" s="76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6"/>
      <c r="D55" s="76"/>
      <c r="E55" s="76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8">
        <f>AVERAGE($C15:$E15)</f>
        <v>0.26133219592352436</v>
      </c>
      <c r="H15" s="78">
        <f t="shared" ref="H15:K15" si="3">AVERAGE($C15:$E15)</f>
        <v>0.26133219592352436</v>
      </c>
      <c r="I15" s="78">
        <f t="shared" si="3"/>
        <v>0.26133219592352436</v>
      </c>
      <c r="J15" s="78">
        <f t="shared" si="3"/>
        <v>0.26133219592352436</v>
      </c>
      <c r="K15" s="78">
        <f t="shared" si="3"/>
        <v>0.26133219592352436</v>
      </c>
    </row>
    <row r="16" spans="2:11">
      <c r="C16" s="13"/>
      <c r="D16" s="13"/>
      <c r="E16" s="13"/>
      <c r="G16" s="79"/>
      <c r="H16" s="79"/>
      <c r="I16" s="79"/>
      <c r="J16" s="79"/>
      <c r="K16" s="79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8">
        <f>AVERAGE($C18:$E18)</f>
        <v>6.4866273263650964E-2</v>
      </c>
      <c r="H18" s="78">
        <f t="shared" ref="H18:K18" si="4">AVERAGE($C18:$E18)</f>
        <v>6.4866273263650964E-2</v>
      </c>
      <c r="I18" s="78">
        <f t="shared" si="4"/>
        <v>6.4866273263650964E-2</v>
      </c>
      <c r="J18" s="78">
        <f t="shared" si="4"/>
        <v>6.4866273263650964E-2</v>
      </c>
      <c r="K18" s="78">
        <f t="shared" si="4"/>
        <v>6.4866273263650964E-2</v>
      </c>
    </row>
    <row r="19" spans="2:11">
      <c r="C19" s="13"/>
      <c r="D19" s="13"/>
      <c r="E19" s="13"/>
      <c r="G19" s="79"/>
      <c r="H19" s="79"/>
      <c r="I19" s="79"/>
      <c r="J19" s="79"/>
      <c r="K19" s="79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8">
        <f>AVERAGE($C21:$E21)</f>
        <v>3.5034261583131034E-2</v>
      </c>
      <c r="H21" s="78">
        <f t="shared" ref="H21:K21" si="5">AVERAGE($C21:$E21)</f>
        <v>3.5034261583131034E-2</v>
      </c>
      <c r="I21" s="78">
        <f t="shared" si="5"/>
        <v>3.5034261583131034E-2</v>
      </c>
      <c r="J21" s="78">
        <f t="shared" si="5"/>
        <v>3.5034261583131034E-2</v>
      </c>
      <c r="K21" s="78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N12" sqref="N1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82" t="s">
        <v>101</v>
      </c>
      <c r="C6" s="83">
        <f>+C4+C5</f>
        <v>180723</v>
      </c>
      <c r="D6" s="83">
        <f>+D4+D5</f>
        <v>191034</v>
      </c>
      <c r="E6" s="83">
        <f>+E4+E5</f>
        <v>210951</v>
      </c>
      <c r="F6" s="84"/>
      <c r="G6" s="85">
        <f t="shared" ref="G6:K6" si="0">+G4+G5</f>
        <v>231787.6</v>
      </c>
      <c r="H6" s="85">
        <f t="shared" si="0"/>
        <v>254707.86000000002</v>
      </c>
      <c r="I6" s="85">
        <f t="shared" si="0"/>
        <v>279920.14600000007</v>
      </c>
      <c r="J6" s="85">
        <f t="shared" si="0"/>
        <v>307653.66060000012</v>
      </c>
      <c r="K6" s="85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82" t="s">
        <v>102</v>
      </c>
      <c r="C9" s="83">
        <f>+C6+C8</f>
        <v>38328.632533333293</v>
      </c>
      <c r="D9" s="83">
        <f>+D6+D8</f>
        <v>40461.833600000013</v>
      </c>
      <c r="E9" s="83">
        <f>+E6+E8</f>
        <v>53427.881574603001</v>
      </c>
      <c r="F9" s="84"/>
      <c r="G9" s="85">
        <f t="shared" ref="G9:K9" si="1">+G6+G8</f>
        <v>57593.624000000011</v>
      </c>
      <c r="H9" s="85">
        <f t="shared" si="1"/>
        <v>63094.486399999994</v>
      </c>
      <c r="I9" s="85">
        <f t="shared" si="1"/>
        <v>69145.435040000011</v>
      </c>
      <c r="J9" s="85">
        <f t="shared" si="1"/>
        <v>75801.478544000012</v>
      </c>
      <c r="K9" s="85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82" t="s">
        <v>14</v>
      </c>
      <c r="C12" s="83">
        <f>+C9+C11</f>
        <v>20317.317333333289</v>
      </c>
      <c r="D12" s="83">
        <f>+D9+D11</f>
        <v>21213.936000000016</v>
      </c>
      <c r="E12" s="83">
        <f>+E9+E11</f>
        <v>29560.873574602992</v>
      </c>
      <c r="F12" s="84"/>
      <c r="G12" s="85">
        <f t="shared" ref="G12:K12" si="2">+G9+G11</f>
        <v>34673.364000000009</v>
      </c>
      <c r="H12" s="85">
        <f t="shared" si="2"/>
        <v>37882.200399999987</v>
      </c>
      <c r="I12" s="85">
        <f t="shared" si="2"/>
        <v>41411.920440000002</v>
      </c>
      <c r="J12" s="85">
        <f t="shared" si="2"/>
        <v>45294.612483999997</v>
      </c>
      <c r="K12" s="85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82" t="s">
        <v>16</v>
      </c>
      <c r="C15" s="83">
        <f>+C12+C14</f>
        <v>17409.51733333329</v>
      </c>
      <c r="D15" s="83">
        <f>+D12+D14</f>
        <v>16564.136000000017</v>
      </c>
      <c r="E15" s="83">
        <f>+E12+E14</f>
        <v>23130.213574602993</v>
      </c>
      <c r="F15" s="84"/>
      <c r="G15" s="85">
        <f t="shared" ref="G15:K15" si="3">+G12+G14</f>
        <v>30089.312000000009</v>
      </c>
      <c r="H15" s="85">
        <f t="shared" si="3"/>
        <v>32839.743199999983</v>
      </c>
      <c r="I15" s="85">
        <f t="shared" si="3"/>
        <v>35865.217519999998</v>
      </c>
      <c r="J15" s="85">
        <f t="shared" si="3"/>
        <v>39193.239271999992</v>
      </c>
      <c r="K15" s="85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82" t="s">
        <v>19</v>
      </c>
      <c r="C19" s="83">
        <f>+C15+C17+C18</f>
        <v>15825.63733333329</v>
      </c>
      <c r="D19" s="83">
        <f>+D15+D17+D18</f>
        <v>13508.936000000018</v>
      </c>
      <c r="E19" s="83">
        <f>+E15+E17+E18</f>
        <v>20146.033574602992</v>
      </c>
      <c r="F19" s="84"/>
      <c r="G19" s="85">
        <f t="shared" ref="G19:K19" si="4">+G15+G17+G18</f>
        <v>27425.392000000007</v>
      </c>
      <c r="H19" s="85">
        <f t="shared" si="4"/>
        <v>30175.823199999984</v>
      </c>
      <c r="I19" s="85">
        <f t="shared" si="4"/>
        <v>33201.29752</v>
      </c>
      <c r="J19" s="85">
        <f t="shared" si="4"/>
        <v>36529.319271999993</v>
      </c>
      <c r="K19" s="85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6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80" t="s">
        <v>24</v>
      </c>
      <c r="C24" s="81">
        <f>+C19+C21</f>
        <v>12019.861333333291</v>
      </c>
      <c r="D24" s="81">
        <f>+D19+D21</f>
        <v>10458.744000000017</v>
      </c>
      <c r="E24" s="81">
        <f>+E19+E21</f>
        <v>16331.153574602991</v>
      </c>
      <c r="F24" s="81"/>
      <c r="G24" s="81">
        <f t="shared" ref="G24:K24" si="7">+G19+G21</f>
        <v>22488.821440000007</v>
      </c>
      <c r="H24" s="81">
        <f t="shared" si="7"/>
        <v>24744.175023999989</v>
      </c>
      <c r="I24" s="81">
        <f t="shared" si="7"/>
        <v>27225.063966400001</v>
      </c>
      <c r="J24" s="81">
        <f t="shared" si="7"/>
        <v>29954.041803039996</v>
      </c>
      <c r="K24" s="81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tabSelected="1"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/>
      <c r="H4" s="28"/>
      <c r="I4" s="28"/>
      <c r="J4" s="28"/>
      <c r="K4" s="28"/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/>
      <c r="H5" s="28"/>
      <c r="I5" s="28"/>
      <c r="J5" s="28"/>
      <c r="K5" s="28"/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/>
      <c r="H8" s="28"/>
      <c r="I8" s="28"/>
      <c r="J8" s="28"/>
      <c r="K8" s="28"/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/>
      <c r="H9" s="28"/>
      <c r="I9" s="28"/>
      <c r="J9" s="28"/>
      <c r="K9" s="28"/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7" t="s">
        <v>37</v>
      </c>
      <c r="C14" s="88">
        <f>SUM(C4:C12)</f>
        <v>144575.6</v>
      </c>
      <c r="D14" s="88">
        <f t="shared" ref="D14:E14" si="0">SUM(D4:D12)</f>
        <v>170464.2</v>
      </c>
      <c r="E14" s="88">
        <f t="shared" si="0"/>
        <v>187652.19999999998</v>
      </c>
      <c r="F14" s="89"/>
      <c r="G14" s="90"/>
      <c r="H14" s="90"/>
      <c r="I14" s="90"/>
      <c r="J14" s="90"/>
      <c r="K14" s="90"/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/>
      <c r="H16" s="36"/>
      <c r="I16" s="36"/>
      <c r="J16" s="36"/>
      <c r="K16" s="36"/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7" t="s">
        <v>109</v>
      </c>
      <c r="C23" s="88">
        <f>+SUM(C16:C21)</f>
        <v>144575.59999999998</v>
      </c>
      <c r="D23" s="88">
        <f t="shared" ref="D23:E23" si="1">+SUM(D16:D21)</f>
        <v>170464.2</v>
      </c>
      <c r="E23" s="88">
        <f t="shared" si="1"/>
        <v>187652.2</v>
      </c>
      <c r="F23" s="89"/>
      <c r="G23" s="90"/>
      <c r="H23" s="90"/>
      <c r="I23" s="90"/>
      <c r="J23" s="90"/>
      <c r="K23" s="90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topLeftCell="A34"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59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59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59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59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59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1"/>
      <c r="H18" s="71"/>
      <c r="I18" s="71"/>
      <c r="J18" s="71"/>
      <c r="K18" s="71"/>
      <c r="L18" s="45"/>
      <c r="N18" s="45"/>
      <c r="O18" s="45"/>
    </row>
    <row r="19" spans="2:15">
      <c r="B19" s="65"/>
      <c r="C19" s="65"/>
      <c r="D19" s="66"/>
      <c r="E19" s="66"/>
      <c r="F19" s="65"/>
      <c r="G19" s="72"/>
      <c r="H19" s="72"/>
      <c r="I19" s="72"/>
      <c r="J19" s="72"/>
      <c r="K19" s="72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1"/>
      <c r="H20" s="71"/>
      <c r="I20" s="71"/>
      <c r="J20" s="71"/>
      <c r="K20" s="71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5"/>
      <c r="C26" s="65"/>
      <c r="D26" s="66"/>
      <c r="E26" s="66"/>
      <c r="F26" s="65"/>
      <c r="G26" s="66"/>
      <c r="H26" s="66"/>
      <c r="I26" s="66"/>
      <c r="J26" s="66"/>
      <c r="K26" s="66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45"/>
    </row>
    <row r="29" spans="2:15"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8"/>
      <c r="E32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3"/>
      <c r="C11" s="73"/>
      <c r="D11" s="73"/>
      <c r="E11" s="73"/>
      <c r="F11" s="73"/>
      <c r="G11" s="74"/>
      <c r="H11" s="74"/>
      <c r="I11" s="74"/>
      <c r="J11" s="74"/>
      <c r="K11" s="74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0"/>
      <c r="K5" s="70"/>
      <c r="L5" s="70"/>
      <c r="M5" s="70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2016-06-20T15:11:34Z</dcterms:modified>
</cp:coreProperties>
</file>