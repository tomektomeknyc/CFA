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405" windowWidth="14805" windowHeight="7710" firstSheet="2" activeTab="7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45621"/>
</workbook>
</file>

<file path=xl/calcChain.xml><?xml version="1.0" encoding="utf-8"?>
<calcChain xmlns="http://schemas.openxmlformats.org/spreadsheetml/2006/main">
  <c r="D36" i="6" l="1"/>
  <c r="D35" i="6"/>
  <c r="D33" i="6"/>
  <c r="D32" i="6"/>
  <c r="D30" i="6"/>
  <c r="D28" i="6"/>
  <c r="D27" i="6"/>
  <c r="D26" i="6"/>
  <c r="D25" i="6"/>
  <c r="D23" i="6" l="1"/>
  <c r="D21" i="6"/>
  <c r="D19" i="6"/>
  <c r="D18" i="6"/>
  <c r="D16" i="6"/>
  <c r="D15" i="6"/>
  <c r="D14" i="6"/>
  <c r="D13" i="6"/>
  <c r="D12" i="6"/>
  <c r="D10" i="6"/>
  <c r="D9" i="6"/>
  <c r="D7" i="6"/>
  <c r="D5" i="6"/>
  <c r="D6" i="6"/>
  <c r="D4" i="6"/>
  <c r="H21" i="7" l="1"/>
  <c r="I21" i="7" s="1"/>
  <c r="J21" i="7" s="1"/>
  <c r="K21" i="7" s="1"/>
  <c r="H23" i="7"/>
  <c r="G21" i="7"/>
  <c r="K19" i="7"/>
  <c r="J19" i="7"/>
  <c r="I19" i="7"/>
  <c r="H19" i="7"/>
  <c r="G19" i="7"/>
  <c r="K6" i="7"/>
  <c r="J6" i="7"/>
  <c r="I6" i="7"/>
  <c r="H6" i="7"/>
  <c r="G6" i="7"/>
  <c r="K4" i="7"/>
  <c r="J4" i="7"/>
  <c r="I4" i="7"/>
  <c r="H4" i="7"/>
  <c r="G4" i="7"/>
  <c r="E26" i="7"/>
  <c r="D26" i="7"/>
  <c r="C26" i="7"/>
  <c r="E21" i="7"/>
  <c r="D21" i="7"/>
  <c r="E19" i="7"/>
  <c r="D19" i="7"/>
  <c r="E12" i="7"/>
  <c r="D12" i="7"/>
  <c r="E6" i="7"/>
  <c r="D6" i="7"/>
  <c r="E4" i="7"/>
  <c r="D4" i="7"/>
  <c r="C21" i="7"/>
  <c r="C19" i="7"/>
  <c r="C12" i="7"/>
  <c r="C6" i="7"/>
  <c r="C4" i="7"/>
  <c r="K17" i="7" l="1"/>
  <c r="J17" i="7"/>
  <c r="I17" i="7"/>
  <c r="H17" i="7"/>
  <c r="G17" i="7"/>
  <c r="K16" i="7"/>
  <c r="J16" i="7"/>
  <c r="J23" i="7" s="1"/>
  <c r="I16" i="7"/>
  <c r="H16" i="7"/>
  <c r="G16" i="7"/>
  <c r="G23" i="7" s="1"/>
  <c r="E17" i="7"/>
  <c r="D17" i="7"/>
  <c r="C17" i="7"/>
  <c r="E16" i="7"/>
  <c r="D16" i="7"/>
  <c r="C16" i="7"/>
  <c r="K10" i="7"/>
  <c r="J10" i="7"/>
  <c r="I10" i="7"/>
  <c r="H10" i="7"/>
  <c r="G10" i="7"/>
  <c r="K9" i="7"/>
  <c r="J9" i="7"/>
  <c r="I9" i="7"/>
  <c r="H9" i="7"/>
  <c r="G9" i="7"/>
  <c r="K8" i="7"/>
  <c r="J8" i="7"/>
  <c r="I8" i="7"/>
  <c r="H8" i="7"/>
  <c r="G8" i="7"/>
  <c r="E10" i="7"/>
  <c r="D10" i="7"/>
  <c r="C10" i="7"/>
  <c r="E9" i="7"/>
  <c r="D9" i="7"/>
  <c r="C9" i="7"/>
  <c r="E8" i="7"/>
  <c r="D8" i="7"/>
  <c r="C8" i="7"/>
  <c r="K5" i="7"/>
  <c r="K14" i="7" s="1"/>
  <c r="J5" i="7"/>
  <c r="I5" i="7"/>
  <c r="I14" i="7" s="1"/>
  <c r="H5" i="7"/>
  <c r="G5" i="7"/>
  <c r="G14" i="7" s="1"/>
  <c r="E5" i="7"/>
  <c r="E14" i="7" s="1"/>
  <c r="D5" i="7"/>
  <c r="C5" i="7"/>
  <c r="E23" i="7"/>
  <c r="D23" i="7"/>
  <c r="C23" i="7"/>
  <c r="K23" i="7"/>
  <c r="I23" i="7"/>
  <c r="H14" i="7"/>
  <c r="D14" i="7"/>
  <c r="J14" i="7" l="1"/>
  <c r="C14" i="7"/>
  <c r="K21" i="5" l="1"/>
  <c r="J21" i="5"/>
  <c r="I21" i="5"/>
  <c r="H21" i="5"/>
  <c r="G21" i="5"/>
  <c r="K22" i="5"/>
  <c r="J22" i="5"/>
  <c r="I22" i="5"/>
  <c r="H22" i="5"/>
  <c r="G22" i="5"/>
  <c r="E22" i="5"/>
  <c r="D22" i="5"/>
  <c r="C22" i="5"/>
  <c r="E21" i="5"/>
  <c r="D21" i="5"/>
  <c r="C21" i="5"/>
  <c r="K18" i="5"/>
  <c r="J18" i="5"/>
  <c r="I18" i="5"/>
  <c r="H18" i="5"/>
  <c r="G18" i="5"/>
  <c r="K17" i="5"/>
  <c r="J17" i="5"/>
  <c r="I17" i="5"/>
  <c r="H17" i="5"/>
  <c r="G17" i="5"/>
  <c r="E18" i="5"/>
  <c r="D18" i="5"/>
  <c r="C18" i="5"/>
  <c r="E17" i="5"/>
  <c r="D17" i="5"/>
  <c r="C17" i="5"/>
  <c r="K14" i="5"/>
  <c r="J14" i="5"/>
  <c r="I14" i="5"/>
  <c r="H14" i="5"/>
  <c r="G14" i="5"/>
  <c r="E14" i="5"/>
  <c r="D14" i="5"/>
  <c r="C14" i="5"/>
  <c r="K11" i="5"/>
  <c r="J11" i="5"/>
  <c r="I11" i="5"/>
  <c r="H11" i="5"/>
  <c r="G11" i="5"/>
  <c r="E11" i="5"/>
  <c r="D11" i="5"/>
  <c r="C11" i="5"/>
  <c r="K8" i="5"/>
  <c r="J8" i="5"/>
  <c r="I8" i="5"/>
  <c r="H8" i="5"/>
  <c r="G8" i="5"/>
  <c r="E8" i="5"/>
  <c r="D8" i="5"/>
  <c r="C8" i="5"/>
  <c r="K5" i="5"/>
  <c r="J5" i="5"/>
  <c r="I5" i="5"/>
  <c r="H5" i="5"/>
  <c r="G5" i="5"/>
  <c r="K4" i="5"/>
  <c r="J4" i="5"/>
  <c r="I4" i="5"/>
  <c r="H4" i="5"/>
  <c r="G4" i="5"/>
  <c r="E5" i="5"/>
  <c r="D5" i="5"/>
  <c r="C5" i="5"/>
  <c r="E4" i="5"/>
  <c r="D4" i="5"/>
  <c r="C4" i="5"/>
  <c r="K6" i="5" l="1"/>
  <c r="K9" i="5" s="1"/>
  <c r="K12" i="5" s="1"/>
  <c r="K15" i="5" s="1"/>
  <c r="K19" i="5" s="1"/>
  <c r="K24" i="5" s="1"/>
  <c r="J6" i="5"/>
  <c r="J9" i="5" s="1"/>
  <c r="J12" i="5" s="1"/>
  <c r="J15" i="5" s="1"/>
  <c r="J19" i="5" s="1"/>
  <c r="J24" i="5" s="1"/>
  <c r="I6" i="5"/>
  <c r="I9" i="5" s="1"/>
  <c r="I12" i="5" s="1"/>
  <c r="I15" i="5" s="1"/>
  <c r="I19" i="5" s="1"/>
  <c r="I24" i="5" s="1"/>
  <c r="H6" i="5"/>
  <c r="H9" i="5" s="1"/>
  <c r="H12" i="5" s="1"/>
  <c r="H15" i="5" s="1"/>
  <c r="H19" i="5" s="1"/>
  <c r="H24" i="5" s="1"/>
  <c r="G6" i="5"/>
  <c r="G9" i="5" s="1"/>
  <c r="G12" i="5" s="1"/>
  <c r="G15" i="5" s="1"/>
  <c r="G19" i="5" s="1"/>
  <c r="G24" i="5" s="1"/>
  <c r="E6" i="5"/>
  <c r="E9" i="5" s="1"/>
  <c r="E12" i="5" s="1"/>
  <c r="E15" i="5" s="1"/>
  <c r="E19" i="5" s="1"/>
  <c r="E24" i="5" s="1"/>
  <c r="D6" i="5"/>
  <c r="D9" i="5" s="1"/>
  <c r="D12" i="5" s="1"/>
  <c r="D15" i="5" s="1"/>
  <c r="D19" i="5" s="1"/>
  <c r="D24" i="5" s="1"/>
  <c r="C6" i="5"/>
  <c r="C9" i="5" s="1"/>
  <c r="C12" i="5" s="1"/>
  <c r="C15" i="5" s="1"/>
  <c r="C19" i="5" s="1"/>
  <c r="C24" i="5" s="1"/>
  <c r="K20" i="9" l="1"/>
  <c r="J20" i="9"/>
  <c r="I20" i="9"/>
  <c r="H20" i="9"/>
  <c r="G20" i="9"/>
  <c r="K17" i="9"/>
  <c r="J17" i="9"/>
  <c r="I17" i="9"/>
  <c r="H17" i="9"/>
  <c r="G17" i="9"/>
  <c r="K14" i="9"/>
  <c r="J14" i="9"/>
  <c r="I14" i="9"/>
  <c r="H14" i="9"/>
  <c r="G14" i="9"/>
  <c r="K21" i="9"/>
  <c r="J21" i="9"/>
  <c r="I21" i="9"/>
  <c r="H21" i="9"/>
  <c r="G21" i="9"/>
  <c r="K18" i="9"/>
  <c r="J18" i="9"/>
  <c r="I18" i="9"/>
  <c r="H18" i="9"/>
  <c r="G18" i="9"/>
  <c r="K15" i="9"/>
  <c r="J15" i="9"/>
  <c r="I15" i="9"/>
  <c r="H15" i="9"/>
  <c r="G15" i="9"/>
  <c r="E21" i="9"/>
  <c r="D21" i="9"/>
  <c r="C21" i="9"/>
  <c r="E18" i="9"/>
  <c r="D18" i="9"/>
  <c r="C18" i="9"/>
  <c r="E15" i="9"/>
  <c r="D15" i="9"/>
  <c r="C15" i="9"/>
  <c r="E20" i="9"/>
  <c r="D20" i="9"/>
  <c r="C20" i="9"/>
  <c r="E17" i="9"/>
  <c r="D17" i="9"/>
  <c r="C17" i="9"/>
  <c r="E14" i="9"/>
  <c r="D14" i="9"/>
  <c r="C14" i="9"/>
  <c r="K8" i="9" l="1"/>
  <c r="J8" i="9"/>
  <c r="I8" i="9"/>
  <c r="H8" i="9"/>
  <c r="G8" i="9"/>
  <c r="K11" i="9"/>
  <c r="J11" i="9"/>
  <c r="I11" i="9"/>
  <c r="H11" i="9"/>
  <c r="G11" i="9"/>
  <c r="K5" i="9"/>
  <c r="J5" i="9"/>
  <c r="I5" i="9"/>
  <c r="H5" i="9"/>
  <c r="G5" i="9"/>
  <c r="K12" i="9"/>
  <c r="J12" i="9"/>
  <c r="I12" i="9"/>
  <c r="H12" i="9"/>
  <c r="G12" i="9"/>
  <c r="K9" i="9"/>
  <c r="J9" i="9"/>
  <c r="I9" i="9"/>
  <c r="H9" i="9"/>
  <c r="G9" i="9"/>
  <c r="K6" i="9"/>
  <c r="J6" i="9"/>
  <c r="I6" i="9"/>
  <c r="H6" i="9"/>
  <c r="G6" i="9"/>
  <c r="E9" i="9"/>
  <c r="D9" i="9"/>
  <c r="C9" i="9"/>
  <c r="E12" i="9"/>
  <c r="D12" i="9"/>
  <c r="C12" i="9"/>
  <c r="E6" i="9"/>
  <c r="D6" i="9"/>
  <c r="C6" i="9"/>
  <c r="E11" i="9"/>
  <c r="D11" i="9"/>
  <c r="C11" i="9"/>
  <c r="E8" i="9"/>
  <c r="D8" i="9"/>
  <c r="C8" i="9"/>
  <c r="E5" i="9"/>
  <c r="D5" i="9"/>
  <c r="C5" i="9"/>
  <c r="E46" i="8" l="1"/>
  <c r="D46" i="8"/>
  <c r="C46" i="8"/>
  <c r="E40" i="8"/>
  <c r="D40" i="8"/>
  <c r="K45" i="8"/>
  <c r="J45" i="8"/>
  <c r="I45" i="8"/>
  <c r="H45" i="8"/>
  <c r="G45" i="8"/>
  <c r="G39" i="8"/>
  <c r="H39" i="8" s="1"/>
  <c r="I39" i="8" s="1"/>
  <c r="J39" i="8" s="1"/>
  <c r="K39" i="8" s="1"/>
  <c r="K27" i="8" l="1"/>
  <c r="J27" i="8"/>
  <c r="I27" i="8"/>
  <c r="H27" i="8"/>
  <c r="G27" i="8"/>
  <c r="E34" i="8"/>
  <c r="D34" i="8"/>
  <c r="C34" i="8"/>
  <c r="E28" i="8"/>
  <c r="D28" i="8"/>
  <c r="C28" i="8"/>
  <c r="J21" i="8" l="1"/>
  <c r="E22" i="8"/>
  <c r="D22" i="8"/>
  <c r="C22" i="8"/>
  <c r="G15" i="8"/>
  <c r="H15" i="8" s="1"/>
  <c r="I15" i="8" s="1"/>
  <c r="J15" i="8" s="1"/>
  <c r="K15" i="8" s="1"/>
  <c r="K52" i="8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K33" i="8" s="1"/>
  <c r="J34" i="8"/>
  <c r="J33" i="8" s="1"/>
  <c r="I34" i="8"/>
  <c r="I33" i="8" s="1"/>
  <c r="H34" i="8"/>
  <c r="H33" i="8" s="1"/>
  <c r="G34" i="8"/>
  <c r="G33" i="8" s="1"/>
  <c r="K28" i="8"/>
  <c r="J28" i="8"/>
  <c r="I28" i="8"/>
  <c r="H28" i="8"/>
  <c r="G28" i="8"/>
  <c r="K22" i="8"/>
  <c r="K21" i="8" s="1"/>
  <c r="J22" i="8"/>
  <c r="I22" i="8"/>
  <c r="I21" i="8" s="1"/>
  <c r="H22" i="8"/>
  <c r="H21" i="8" s="1"/>
  <c r="G22" i="8"/>
  <c r="G21" i="8" s="1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E16" i="8" l="1"/>
  <c r="D16" i="8"/>
  <c r="E15" i="8"/>
  <c r="D15" i="8"/>
  <c r="C15" i="8"/>
  <c r="K10" i="8" l="1"/>
  <c r="J10" i="8"/>
  <c r="I10" i="8"/>
  <c r="H10" i="8"/>
  <c r="G10" i="8"/>
  <c r="G9" i="8" s="1"/>
  <c r="H9" i="8" s="1"/>
  <c r="I9" i="8" s="1"/>
  <c r="J9" i="8" s="1"/>
  <c r="K9" i="8" s="1"/>
  <c r="E10" i="8" l="1"/>
  <c r="D10" i="8"/>
  <c r="E9" i="8"/>
  <c r="D9" i="8"/>
  <c r="C9" i="8"/>
  <c r="B6" i="4" l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<sst xmlns="http://schemas.openxmlformats.org/spreadsheetml/2006/main" count="273" uniqueCount="143">
  <si>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</si>
  <si>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</si>
  <si>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</si>
  <si>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</si>
  <si>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</si>
  <si>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</si>
  <si>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</si>
  <si>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</si>
  <si>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</si>
  <si>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</si>
  <si>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</si>
  <si>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</si>
  <si>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</si>
  <si>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</si>
  <si>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</si>
  <si>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</si>
  <si>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</si>
  <si>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</si>
  <si>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</si>
  <si>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</si>
  <si>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</si>
  <si>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</si>
  <si>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</si>
  <si>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</si>
  <si>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</si>
  <si>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</si>
  <si>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</si>
  <si>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</si>
  <si>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</si>
  <si>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</si>
  <si>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</si>
  <si>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</si>
  <si>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</si>
  <si>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</si>
  <si>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</si>
  <si>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</si>
  <si>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</si>
  <si>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</si>
  <si>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</si>
  <si>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</si>
  <si>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</si>
  <si>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</si>
  <si>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</si>
  <si>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</si>
  <si>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</si>
  <si>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</si>
  <si>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</si>
  <si>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</si>
  <si>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</si>
  <si>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</si>
  <si>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</si>
  <si>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</si>
  <si>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</si>
  <si>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</si>
  <si>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</si>
  <si>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</si>
  <si>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</si>
  <si>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</si>
  <si>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</si>
  <si>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</si>
  <si>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</si>
  <si>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</si>
  <si>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</si>
  <si>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</si>
  <si>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</si>
  <si>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</si>
  <si>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</si>
  <si>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</si>
  <si>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</si>
  <si>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</si>
  <si>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</si>
  <si>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</si>
  <si>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</si>
  <si>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</si>
  <si>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</si>
  <si>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</si>
  <si>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</si>
  <si>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</si>
  <si>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</si>
  <si>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</si>
  <si>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</si>
  <si>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</si>
  <si>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</si>
  <si>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</si>
  <si>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</si>
  <si>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</si>
  <si>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</si>
  <si>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</si>
  <si>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</si>
  <si>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</si>
  <si>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</si>
  <si>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</si>
  <si>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</si>
  <si>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</si>
  <si>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</si>
  <si>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</si>
  <si>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</si>
  <si>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</si>
  <si>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</si>
  <si>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</si>
  <si>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</si>
  <si>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</si>
  <si>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</si>
  <si>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</si>
  <si>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</si>
  <si>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</si>
  <si>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</si>
  <si>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</si>
  <si>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</si>
  <si>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</si>
  <si>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</si>
  <si>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</si>
  <si>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</si>
  <si>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</si>
  <si>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</si>
  <si>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Operating tax rate</t>
  </si>
  <si>
    <t>NOPAT</t>
  </si>
  <si>
    <t>Gross Cash Flow</t>
  </si>
  <si>
    <t>Add-back D&amp;A</t>
  </si>
  <si>
    <t>Trade payables</t>
  </si>
  <si>
    <t>Investments in working capital</t>
  </si>
  <si>
    <t>Investments in other assets/liabilities</t>
  </si>
  <si>
    <t>Capex</t>
  </si>
  <si>
    <t>Other investments</t>
  </si>
  <si>
    <t>UFCF</t>
  </si>
  <si>
    <t>Delta Financial liabilities</t>
  </si>
  <si>
    <t>Delta equity incl. dividends</t>
  </si>
  <si>
    <t>Net Cash Flow</t>
  </si>
  <si>
    <t>Delta Taxes vs. Operating taxes</t>
  </si>
  <si>
    <t>1)</t>
  </si>
  <si>
    <t>2)</t>
  </si>
  <si>
    <t>3)</t>
  </si>
  <si>
    <t>4)</t>
  </si>
  <si>
    <t>5)</t>
  </si>
  <si>
    <t>6)</t>
  </si>
  <si>
    <t>1)+2)+3)+4)+5)+6)</t>
  </si>
  <si>
    <t>Opening cash</t>
  </si>
  <si>
    <t>Closing cash</t>
  </si>
  <si>
    <t>7)</t>
  </si>
  <si>
    <t>8)</t>
  </si>
  <si>
    <t>9)</t>
  </si>
  <si>
    <t>10)</t>
  </si>
  <si>
    <t>1)+2)+3)+4)+5)+6)+7)+8)+9)+10)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</si>
</sst>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(&quot;$&quot;* #,##0_);_(&quot;$&quot;* \(#,##0\);_(&quot;$&quot;* &quot;-&quot;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0" fontId="1" fillId="2" borderId="0" xfId="3" applyNumberFormat="1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4" fontId="1" fillId="47" borderId="0" xfId="0" applyNumberFormat="1" applyFont="1" applyFill="1"/>
    <xf numFmtId="167" fontId="1" fillId="3" borderId="0" xfId="2" applyNumberFormat="1" applyFont="1" applyFill="1"/>
    <xf numFmtId="167" fontId="8" fillId="3" borderId="0" xfId="2" applyNumberFormat="1" applyFont="1" applyFill="1"/>
    <xf numFmtId="167" fontId="8" fillId="3" borderId="0" xfId="0" applyNumberFormat="1" applyFont="1" applyFill="1"/>
    <xf numFmtId="164" fontId="11" fillId="4" borderId="0" xfId="0" applyNumberFormat="1" applyFont="1" applyFill="1" applyBorder="1"/>
    <xf numFmtId="166" fontId="11" fillId="4" borderId="0" xfId="0" applyNumberFormat="1" applyFont="1" applyFill="1" applyBorder="1"/>
    <xf numFmtId="164" fontId="6" fillId="2" borderId="19" xfId="0" applyNumberFormat="1" applyFont="1" applyFill="1" applyBorder="1"/>
    <xf numFmtId="166" fontId="6" fillId="2" borderId="19" xfId="0" applyNumberFormat="1" applyFont="1" applyFill="1" applyBorder="1"/>
    <xf numFmtId="164" fontId="12" fillId="2" borderId="19" xfId="0" applyNumberFormat="1" applyFont="1" applyFill="1" applyBorder="1"/>
    <xf numFmtId="166" fontId="1" fillId="3" borderId="19" xfId="0" applyNumberFormat="1" applyFont="1" applyFill="1" applyBorder="1"/>
    <xf numFmtId="168" fontId="1" fillId="3" borderId="0" xfId="0" applyNumberFormat="1" applyFont="1" applyFill="1" applyBorder="1"/>
    <xf numFmtId="164" fontId="6" fillId="2" borderId="20" xfId="0" applyNumberFormat="1" applyFont="1" applyFill="1" applyBorder="1"/>
    <xf numFmtId="166" fontId="6" fillId="2" borderId="20" xfId="0" applyNumberFormat="1" applyFont="1" applyFill="1" applyBorder="1"/>
    <xf numFmtId="166" fontId="1" fillId="2" borderId="20" xfId="0" applyNumberFormat="1" applyFont="1" applyFill="1" applyBorder="1"/>
    <xf numFmtId="166" fontId="6" fillId="3" borderId="20" xfId="0" applyNumberFormat="1" applyFont="1" applyFill="1" applyBorder="1"/>
    <xf numFmtId="166" fontId="12" fillId="2" borderId="19" xfId="0" applyNumberFormat="1" applyFont="1" applyFill="1" applyBorder="1"/>
    <xf numFmtId="166" fontId="6" fillId="3" borderId="19" xfId="0" applyNumberFormat="1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7" t="s">
        <v>26</v>
      </c>
    </row>
    <row r="7" spans="2:3">
      <c r="B7" s="29">
        <f t="shared" ref="B7:B21" si="0">B6+1</f>
        <v>3</v>
      </c>
      <c r="C7" s="67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7" t="s">
        <v>6</v>
      </c>
    </row>
    <row r="10" spans="2:3">
      <c r="B10" s="29">
        <f t="shared" si="0"/>
        <v>6</v>
      </c>
      <c r="C10" s="67" t="s">
        <v>25</v>
      </c>
    </row>
    <row r="11" spans="2:3">
      <c r="B11" s="29">
        <f t="shared" si="0"/>
        <v>7</v>
      </c>
      <c r="C11" s="67" t="s">
        <v>28</v>
      </c>
    </row>
    <row r="12" spans="2:3">
      <c r="B12" s="29">
        <f t="shared" si="0"/>
        <v>8</v>
      </c>
      <c r="C12" s="67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7" t="s">
        <v>72</v>
      </c>
    </row>
    <row r="15" spans="2:3">
      <c r="B15" s="29">
        <f t="shared" si="0"/>
        <v>11</v>
      </c>
      <c r="C15" s="67" t="s">
        <v>69</v>
      </c>
    </row>
    <row r="16" spans="2:3">
      <c r="B16" s="29">
        <f t="shared" si="0"/>
        <v>12</v>
      </c>
      <c r="C16" s="67" t="s">
        <v>73</v>
      </c>
    </row>
    <row r="17" spans="2:3">
      <c r="B17" s="29">
        <f t="shared" si="0"/>
        <v>13</v>
      </c>
      <c r="C17" s="67" t="s">
        <v>74</v>
      </c>
    </row>
    <row r="18" spans="2:3">
      <c r="B18" s="29">
        <f t="shared" si="0"/>
        <v>14</v>
      </c>
      <c r="C18" s="67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7" t="s">
        <v>1</v>
      </c>
    </row>
    <row r="21" spans="2:3">
      <c r="B21" s="29">
        <f t="shared" si="0"/>
        <v>17</v>
      </c>
      <c r="C21" s="67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G9" sqref="G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2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3"/>
      <c r="D11" s="73"/>
      <c r="E11" s="73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3"/>
      <c r="D12" s="73"/>
      <c r="E12" s="73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3"/>
      <c r="D13" s="73"/>
      <c r="E13" s="73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3"/>
      <c r="D17" s="73"/>
      <c r="E17" s="73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3"/>
      <c r="D18" s="73"/>
      <c r="E18" s="73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3"/>
      <c r="D19" s="73"/>
      <c r="E19" s="73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3"/>
      <c r="D23" s="73"/>
      <c r="E23" s="73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3"/>
      <c r="D24" s="73"/>
      <c r="E24" s="73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3"/>
      <c r="D25" s="73"/>
      <c r="E25" s="73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3"/>
      <c r="D29" s="73"/>
      <c r="E29" s="73"/>
      <c r="G29" s="74">
        <v>-0.1</v>
      </c>
      <c r="H29" s="74">
        <v>-0.1</v>
      </c>
      <c r="I29" s="74">
        <v>-0.1</v>
      </c>
      <c r="J29" s="74">
        <v>-0.1</v>
      </c>
      <c r="K29" s="74">
        <v>-0.1</v>
      </c>
    </row>
    <row r="30" spans="2:11" ht="12" customHeight="1">
      <c r="B30" s="7" t="s">
        <v>89</v>
      </c>
      <c r="C30" s="73"/>
      <c r="D30" s="73"/>
      <c r="E30" s="73"/>
      <c r="G30" s="74">
        <v>-0.105</v>
      </c>
      <c r="H30" s="74">
        <v>-0.105</v>
      </c>
      <c r="I30" s="74">
        <v>-0.105</v>
      </c>
      <c r="J30" s="74">
        <v>-0.105</v>
      </c>
      <c r="K30" s="74">
        <v>-0.105</v>
      </c>
    </row>
    <row r="31" spans="2:11" ht="12" customHeight="1">
      <c r="B31" s="7" t="s">
        <v>90</v>
      </c>
      <c r="C31" s="73"/>
      <c r="D31" s="73"/>
      <c r="E31" s="73"/>
      <c r="G31" s="74">
        <v>-0.11</v>
      </c>
      <c r="H31" s="74">
        <v>-0.11</v>
      </c>
      <c r="I31" s="74">
        <v>-0.11</v>
      </c>
      <c r="J31" s="74">
        <v>-0.11</v>
      </c>
      <c r="K31" s="74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3"/>
      <c r="D35" s="73"/>
      <c r="E35" s="73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3"/>
      <c r="D36" s="73"/>
      <c r="E36" s="73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3"/>
      <c r="D37" s="73"/>
      <c r="E37" s="73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3"/>
      <c r="D41" s="73"/>
      <c r="E41" s="73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3"/>
      <c r="D42" s="73"/>
      <c r="E42" s="73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3"/>
      <c r="D43" s="73"/>
      <c r="E43" s="73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3"/>
      <c r="D47" s="73"/>
      <c r="E47" s="73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3"/>
      <c r="D48" s="73"/>
      <c r="E48" s="73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3"/>
      <c r="D49" s="73"/>
      <c r="E49" s="73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3"/>
      <c r="D53" s="73"/>
      <c r="E53" s="73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3"/>
      <c r="D54" s="73"/>
      <c r="E54" s="73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3"/>
      <c r="D55" s="73"/>
      <c r="E55" s="73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5">
        <f>AVERAGE($C15:$E15)</f>
        <v>0.26133219592352436</v>
      </c>
      <c r="H15" s="75">
        <f t="shared" ref="H15:K15" si="3">AVERAGE($C15:$E15)</f>
        <v>0.26133219592352436</v>
      </c>
      <c r="I15" s="75">
        <f t="shared" si="3"/>
        <v>0.26133219592352436</v>
      </c>
      <c r="J15" s="75">
        <f t="shared" si="3"/>
        <v>0.26133219592352436</v>
      </c>
      <c r="K15" s="75">
        <f t="shared" si="3"/>
        <v>0.26133219592352436</v>
      </c>
    </row>
    <row r="16" spans="2:11">
      <c r="C16" s="13"/>
      <c r="D16" s="13"/>
      <c r="E16" s="13"/>
      <c r="G16" s="76"/>
      <c r="H16" s="76"/>
      <c r="I16" s="76"/>
      <c r="J16" s="76"/>
      <c r="K16" s="76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5">
        <f>AVERAGE($C18:$E18)</f>
        <v>6.4866273263650964E-2</v>
      </c>
      <c r="H18" s="75">
        <f t="shared" ref="H18:K18" si="4">AVERAGE($C18:$E18)</f>
        <v>6.4866273263650964E-2</v>
      </c>
      <c r="I18" s="75">
        <f t="shared" si="4"/>
        <v>6.4866273263650964E-2</v>
      </c>
      <c r="J18" s="75">
        <f t="shared" si="4"/>
        <v>6.4866273263650964E-2</v>
      </c>
      <c r="K18" s="75">
        <f t="shared" si="4"/>
        <v>6.4866273263650964E-2</v>
      </c>
    </row>
    <row r="19" spans="2:11">
      <c r="C19" s="13"/>
      <c r="D19" s="13"/>
      <c r="E19" s="13"/>
      <c r="G19" s="76"/>
      <c r="H19" s="76"/>
      <c r="I19" s="76"/>
      <c r="J19" s="76"/>
      <c r="K19" s="76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5">
        <f>AVERAGE($C21:$E21)</f>
        <v>3.5034261583131034E-2</v>
      </c>
      <c r="H21" s="75">
        <f t="shared" ref="H21:K21" si="5">AVERAGE($C21:$E21)</f>
        <v>3.5034261583131034E-2</v>
      </c>
      <c r="I21" s="75">
        <f t="shared" si="5"/>
        <v>3.5034261583131034E-2</v>
      </c>
      <c r="J21" s="75">
        <f t="shared" si="5"/>
        <v>3.5034261583131034E-2</v>
      </c>
      <c r="K21" s="75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N12" sqref="N12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79" t="s">
        <v>101</v>
      </c>
      <c r="C6" s="80">
        <f>+C4+C5</f>
        <v>180723</v>
      </c>
      <c r="D6" s="80">
        <f>+D4+D5</f>
        <v>191034</v>
      </c>
      <c r="E6" s="80">
        <f>+E4+E5</f>
        <v>210951</v>
      </c>
      <c r="F6" s="81"/>
      <c r="G6" s="82">
        <f t="shared" ref="G6:K6" si="0">+G4+G5</f>
        <v>231787.6</v>
      </c>
      <c r="H6" s="82">
        <f t="shared" si="0"/>
        <v>254707.86000000002</v>
      </c>
      <c r="I6" s="82">
        <f t="shared" si="0"/>
        <v>279920.14600000007</v>
      </c>
      <c r="J6" s="82">
        <f t="shared" si="0"/>
        <v>307653.66060000012</v>
      </c>
      <c r="K6" s="82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79" t="s">
        <v>102</v>
      </c>
      <c r="C9" s="80">
        <f>+C6+C8</f>
        <v>38328.632533333293</v>
      </c>
      <c r="D9" s="80">
        <f>+D6+D8</f>
        <v>40461.833600000013</v>
      </c>
      <c r="E9" s="80">
        <f>+E6+E8</f>
        <v>53427.881574603001</v>
      </c>
      <c r="F9" s="81"/>
      <c r="G9" s="82">
        <f t="shared" ref="G9:K9" si="1">+G6+G8</f>
        <v>57593.624000000011</v>
      </c>
      <c r="H9" s="82">
        <f t="shared" si="1"/>
        <v>63094.486399999994</v>
      </c>
      <c r="I9" s="82">
        <f t="shared" si="1"/>
        <v>69145.435040000011</v>
      </c>
      <c r="J9" s="82">
        <f t="shared" si="1"/>
        <v>75801.478544000012</v>
      </c>
      <c r="K9" s="82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79" t="s">
        <v>14</v>
      </c>
      <c r="C12" s="80">
        <f>+C9+C11</f>
        <v>20317.317333333289</v>
      </c>
      <c r="D12" s="80">
        <f>+D9+D11</f>
        <v>21213.936000000016</v>
      </c>
      <c r="E12" s="80">
        <f>+E9+E11</f>
        <v>29560.873574602992</v>
      </c>
      <c r="F12" s="81"/>
      <c r="G12" s="82">
        <f t="shared" ref="G12:K12" si="2">+G9+G11</f>
        <v>34673.364000000009</v>
      </c>
      <c r="H12" s="82">
        <f t="shared" si="2"/>
        <v>37882.200399999987</v>
      </c>
      <c r="I12" s="82">
        <f t="shared" si="2"/>
        <v>41411.920440000002</v>
      </c>
      <c r="J12" s="82">
        <f t="shared" si="2"/>
        <v>45294.612483999997</v>
      </c>
      <c r="K12" s="82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79" t="s">
        <v>16</v>
      </c>
      <c r="C15" s="80">
        <f>+C12+C14</f>
        <v>17409.51733333329</v>
      </c>
      <c r="D15" s="80">
        <f>+D12+D14</f>
        <v>16564.136000000017</v>
      </c>
      <c r="E15" s="80">
        <f>+E12+E14</f>
        <v>23130.213574602993</v>
      </c>
      <c r="F15" s="81"/>
      <c r="G15" s="82">
        <f t="shared" ref="G15:K15" si="3">+G12+G14</f>
        <v>30089.312000000009</v>
      </c>
      <c r="H15" s="82">
        <f t="shared" si="3"/>
        <v>32839.743199999983</v>
      </c>
      <c r="I15" s="82">
        <f t="shared" si="3"/>
        <v>35865.217519999998</v>
      </c>
      <c r="J15" s="82">
        <f t="shared" si="3"/>
        <v>39193.239271999992</v>
      </c>
      <c r="K15" s="82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9" t="s">
        <v>19</v>
      </c>
      <c r="C19" s="80">
        <f>+C15+C17+C18</f>
        <v>15825.63733333329</v>
      </c>
      <c r="D19" s="80">
        <f>+D15+D17+D18</f>
        <v>13508.936000000018</v>
      </c>
      <c r="E19" s="80">
        <f>+E15+E17+E18</f>
        <v>20146.033574602992</v>
      </c>
      <c r="F19" s="81"/>
      <c r="G19" s="82">
        <f t="shared" ref="G19:K19" si="4">+G15+G17+G18</f>
        <v>27425.392000000007</v>
      </c>
      <c r="H19" s="82">
        <f t="shared" si="4"/>
        <v>30175.823199999984</v>
      </c>
      <c r="I19" s="82">
        <f t="shared" si="4"/>
        <v>33201.29752</v>
      </c>
      <c r="J19" s="82">
        <f t="shared" si="4"/>
        <v>36529.319271999993</v>
      </c>
      <c r="K19" s="82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3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7" t="s">
        <v>24</v>
      </c>
      <c r="C24" s="78">
        <f>+C19+C21</f>
        <v>12019.861333333291</v>
      </c>
      <c r="D24" s="78">
        <f>+D19+D21</f>
        <v>10458.744000000017</v>
      </c>
      <c r="E24" s="78">
        <f>+E19+E21</f>
        <v>16331.153574602991</v>
      </c>
      <c r="F24" s="78"/>
      <c r="G24" s="78">
        <f t="shared" ref="G24:K24" si="7">+G19+G21</f>
        <v>22488.821440000007</v>
      </c>
      <c r="H24" s="78">
        <f t="shared" si="7"/>
        <v>24744.175023999989</v>
      </c>
      <c r="I24" s="78">
        <f t="shared" si="7"/>
        <v>27225.063966400001</v>
      </c>
      <c r="J24" s="78">
        <f t="shared" si="7"/>
        <v>29954.041803039996</v>
      </c>
      <c r="K24" s="78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C12" sqref="C12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/>
      <c r="H12" s="36"/>
      <c r="I12" s="36"/>
      <c r="J12" s="36"/>
      <c r="K12" s="36"/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4" t="s">
        <v>37</v>
      </c>
      <c r="C14" s="85">
        <f>SUM(C4:C12)</f>
        <v>144575.6</v>
      </c>
      <c r="D14" s="85">
        <f t="shared" ref="D14:E14" si="2">SUM(D4:D12)</f>
        <v>170464.2</v>
      </c>
      <c r="E14" s="85">
        <f t="shared" si="2"/>
        <v>187652.19999999998</v>
      </c>
      <c r="F14" s="86"/>
      <c r="G14" s="87">
        <f t="shared" ref="G14:K14" si="3">SUM(G4:G12)</f>
        <v>189780.96776569623</v>
      </c>
      <c r="H14" s="87">
        <f t="shared" si="3"/>
        <v>207161.76454226588</v>
      </c>
      <c r="I14" s="87">
        <f t="shared" si="3"/>
        <v>226280.6409964925</v>
      </c>
      <c r="J14" s="87">
        <f t="shared" si="3"/>
        <v>247311.40509614177</v>
      </c>
      <c r="K14" s="87">
        <f t="shared" si="3"/>
        <v>270445.24560575595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4" t="s">
        <v>109</v>
      </c>
      <c r="C23" s="85">
        <f>+SUM(C16:C21)</f>
        <v>144575.59999999998</v>
      </c>
      <c r="D23" s="85">
        <f t="shared" ref="D23:E23" si="5">+SUM(D16:D21)</f>
        <v>170464.2</v>
      </c>
      <c r="E23" s="85">
        <f t="shared" si="5"/>
        <v>187652.2</v>
      </c>
      <c r="F23" s="86"/>
      <c r="G23" s="87">
        <f t="shared" ref="G23:K23" si="6">+SUM(G16:G21)</f>
        <v>213527.50694734915</v>
      </c>
      <c r="H23" s="87">
        <f t="shared" si="6"/>
        <v>243076.63516462376</v>
      </c>
      <c r="I23" s="87">
        <f t="shared" si="6"/>
        <v>275587.14764362585</v>
      </c>
      <c r="J23" s="87">
        <f t="shared" si="6"/>
        <v>311355.18281052809</v>
      </c>
      <c r="K23" s="87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7"/>
  <sheetViews>
    <sheetView tabSelected="1" workbookViewId="0">
      <selection activeCell="A3" sqref="A3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D4" s="32">
        <f>'P&amp;L'!D15</f>
        <v>16564.136000000017</v>
      </c>
      <c r="E4" s="32"/>
      <c r="F4" s="32"/>
      <c r="G4" s="33"/>
      <c r="H4" s="33"/>
      <c r="I4" s="33"/>
      <c r="J4" s="33"/>
      <c r="K4" s="33"/>
    </row>
    <row r="5" spans="2:15">
      <c r="B5" s="11" t="s">
        <v>114</v>
      </c>
      <c r="D5" s="51">
        <f>+D4*D6</f>
        <v>-3740.0277204742097</v>
      </c>
      <c r="E5" s="32"/>
      <c r="F5" s="32"/>
      <c r="G5" s="33"/>
      <c r="H5" s="33"/>
      <c r="I5" s="33"/>
      <c r="J5" s="33"/>
      <c r="K5" s="33"/>
    </row>
    <row r="6" spans="2:15">
      <c r="B6" s="45" t="s">
        <v>115</v>
      </c>
      <c r="C6" s="45"/>
      <c r="D6" s="39">
        <f>'P&amp;L'!D22</f>
        <v>-0.22579069143565386</v>
      </c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79" t="s">
        <v>116</v>
      </c>
      <c r="C7" s="79"/>
      <c r="D7" s="80">
        <f>SUM(D4:D5)</f>
        <v>12824.108279525808</v>
      </c>
      <c r="E7" s="80"/>
      <c r="F7" s="88"/>
      <c r="G7" s="89"/>
      <c r="H7" s="89"/>
      <c r="I7" s="89"/>
      <c r="J7" s="89"/>
      <c r="K7" s="89"/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118</v>
      </c>
      <c r="C9" s="45"/>
      <c r="D9" s="46">
        <f>-'P&amp;L'!D14</f>
        <v>4649.8</v>
      </c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79" t="s">
        <v>117</v>
      </c>
      <c r="C10" s="79"/>
      <c r="D10" s="80">
        <f>+D7+D9</f>
        <v>17473.908279525807</v>
      </c>
      <c r="E10" s="80"/>
      <c r="F10" s="88"/>
      <c r="G10" s="89"/>
      <c r="H10" s="89"/>
      <c r="I10" s="89"/>
      <c r="J10" s="89"/>
      <c r="K10" s="89"/>
      <c r="L10" s="45"/>
      <c r="M10" s="11" t="s">
        <v>129</v>
      </c>
      <c r="N10" s="45"/>
      <c r="O10" s="45"/>
    </row>
    <row r="11" spans="2:15" ht="3.75" customHeight="1">
      <c r="B11" s="45"/>
      <c r="C11" s="45"/>
      <c r="D11" s="46"/>
      <c r="E11" s="46"/>
      <c r="F11" s="45"/>
      <c r="G11" s="36"/>
      <c r="H11" s="36"/>
      <c r="I11" s="36"/>
      <c r="J11" s="36"/>
      <c r="K11" s="36"/>
      <c r="L11" s="45"/>
      <c r="N11" s="45"/>
      <c r="O11" s="45"/>
    </row>
    <row r="12" spans="2:15">
      <c r="B12" s="45" t="s">
        <v>32</v>
      </c>
      <c r="C12" s="45"/>
      <c r="D12" s="46">
        <f>-(BS!D8-BS!C8)</f>
        <v>-5229.6000000000022</v>
      </c>
      <c r="E12" s="46"/>
      <c r="F12" s="45"/>
      <c r="G12" s="36"/>
      <c r="H12" s="36"/>
      <c r="I12" s="36"/>
      <c r="J12" s="36"/>
      <c r="K12" s="36"/>
      <c r="L12" s="45"/>
      <c r="N12" s="45"/>
      <c r="O12" s="45"/>
    </row>
    <row r="13" spans="2:15">
      <c r="B13" s="45" t="s">
        <v>30</v>
      </c>
      <c r="C13" s="45"/>
      <c r="D13" s="46">
        <f>-(BS!D9-BS!C9)</f>
        <v>-5672.4000000000015</v>
      </c>
      <c r="E13" s="46"/>
      <c r="F13" s="45"/>
      <c r="G13" s="36"/>
      <c r="H13" s="36"/>
      <c r="I13" s="36"/>
      <c r="J13" s="36"/>
      <c r="K13" s="36"/>
      <c r="L13" s="45"/>
      <c r="N13" s="45"/>
      <c r="O13" s="45"/>
    </row>
    <row r="14" spans="2:15">
      <c r="B14" s="45" t="s">
        <v>119</v>
      </c>
      <c r="C14" s="45"/>
      <c r="D14" s="46">
        <f>BS!D16-BS!C16</f>
        <v>10460.399999999998</v>
      </c>
      <c r="E14" s="46"/>
      <c r="F14" s="45"/>
      <c r="G14" s="36"/>
      <c r="H14" s="36"/>
      <c r="I14" s="36"/>
      <c r="J14" s="36"/>
      <c r="K14" s="36"/>
      <c r="L14" s="45"/>
      <c r="N14" s="45"/>
      <c r="O14" s="45"/>
    </row>
    <row r="15" spans="2:15">
      <c r="B15" s="79" t="s">
        <v>120</v>
      </c>
      <c r="C15" s="79"/>
      <c r="D15" s="80">
        <f>SUM(D12:D14)</f>
        <v>-441.60000000000582</v>
      </c>
      <c r="E15" s="80"/>
      <c r="F15" s="88"/>
      <c r="G15" s="89"/>
      <c r="H15" s="89"/>
      <c r="I15" s="89"/>
      <c r="J15" s="89"/>
      <c r="K15" s="89"/>
      <c r="L15" s="45"/>
      <c r="M15" s="11" t="s">
        <v>130</v>
      </c>
      <c r="N15" s="45"/>
      <c r="O15" s="45"/>
    </row>
    <row r="16" spans="2:15">
      <c r="B16" s="47" t="s">
        <v>121</v>
      </c>
      <c r="C16" s="59"/>
      <c r="D16" s="48">
        <f>-(BS!D10-BS!C10)+BS!D17-BS!C17</f>
        <v>-2686.2826666666824</v>
      </c>
      <c r="E16" s="48"/>
      <c r="F16" s="49"/>
      <c r="G16" s="37"/>
      <c r="H16" s="37"/>
      <c r="I16" s="37"/>
      <c r="J16" s="37"/>
      <c r="K16" s="37"/>
      <c r="L16" s="45"/>
      <c r="M16" s="11" t="s">
        <v>131</v>
      </c>
      <c r="N16" s="45"/>
      <c r="O16" s="45"/>
    </row>
    <row r="17" spans="2:15" ht="3.75" customHeight="1">
      <c r="B17" s="47"/>
      <c r="C17" s="59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122</v>
      </c>
      <c r="C18" s="59"/>
      <c r="D18" s="48">
        <f>-(BS!D5-BS!C5)+'P&amp;L'!D14</f>
        <v>-8615.7999999999993</v>
      </c>
      <c r="E18" s="48"/>
      <c r="F18" s="45"/>
      <c r="G18" s="37"/>
      <c r="H18" s="37"/>
      <c r="I18" s="37"/>
      <c r="J18" s="37"/>
      <c r="K18" s="37"/>
      <c r="L18" s="45"/>
      <c r="M18" s="11" t="s">
        <v>132</v>
      </c>
      <c r="N18" s="45"/>
      <c r="O18" s="45"/>
    </row>
    <row r="19" spans="2:15">
      <c r="B19" s="47" t="s">
        <v>123</v>
      </c>
      <c r="C19" s="59"/>
      <c r="D19" s="48">
        <f>-(BS!D4-BS!C4)-(BS!D6-BS!C6)</f>
        <v>-885.39999999999964</v>
      </c>
      <c r="E19" s="48"/>
      <c r="F19" s="45"/>
      <c r="G19" s="37"/>
      <c r="H19" s="37"/>
      <c r="I19" s="37"/>
      <c r="J19" s="37"/>
      <c r="K19" s="37"/>
      <c r="L19" s="45"/>
      <c r="M19" s="11" t="s">
        <v>133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9"/>
      <c r="D21" s="48">
        <f>'P&amp;L'!D18</f>
        <v>-864.30000000000007</v>
      </c>
      <c r="E21" s="48"/>
      <c r="F21" s="45"/>
      <c r="G21" s="37"/>
      <c r="H21" s="37"/>
      <c r="I21" s="37"/>
      <c r="J21" s="37"/>
      <c r="K21" s="37"/>
      <c r="L21" s="45"/>
      <c r="M21" s="11" t="s">
        <v>134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9"/>
      <c r="H22" s="69"/>
      <c r="I22" s="69"/>
      <c r="J22" s="69"/>
      <c r="K22" s="69"/>
      <c r="L22" s="45"/>
      <c r="N22" s="45"/>
      <c r="O22" s="45"/>
    </row>
    <row r="23" spans="2:15">
      <c r="B23" s="77" t="s">
        <v>124</v>
      </c>
      <c r="C23" s="77"/>
      <c r="D23" s="78">
        <f>D10+D15+D16+D18+D19+D21</f>
        <v>3980.52561285912</v>
      </c>
      <c r="E23" s="78"/>
      <c r="F23" s="77"/>
      <c r="G23" s="78"/>
      <c r="H23" s="78"/>
      <c r="I23" s="78"/>
      <c r="J23" s="78"/>
      <c r="K23" s="78"/>
      <c r="L23" s="45"/>
      <c r="M23" s="11" t="s">
        <v>135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9"/>
      <c r="H24" s="69"/>
      <c r="I24" s="69"/>
      <c r="J24" s="69"/>
      <c r="K24" s="69"/>
      <c r="L24" s="45"/>
      <c r="N24" s="45"/>
      <c r="O24" s="45"/>
    </row>
    <row r="25" spans="2:15">
      <c r="B25" s="45" t="s">
        <v>103</v>
      </c>
      <c r="C25" s="45"/>
      <c r="D25" s="46">
        <f>'P&amp;L'!D17</f>
        <v>-2190.9</v>
      </c>
      <c r="E25" s="46"/>
      <c r="F25" s="45"/>
      <c r="G25" s="37"/>
      <c r="H25" s="37"/>
      <c r="I25" s="37"/>
      <c r="J25" s="37"/>
      <c r="K25" s="37"/>
      <c r="L25" s="45"/>
      <c r="M25" s="11" t="s">
        <v>138</v>
      </c>
      <c r="N25" s="45"/>
      <c r="O25" s="45"/>
    </row>
    <row r="26" spans="2:15">
      <c r="B26" s="45" t="s">
        <v>128</v>
      </c>
      <c r="C26" s="45"/>
      <c r="D26" s="46">
        <f>'P&amp;L'!D21-'Cash Flow'!D5</f>
        <v>689.83572047420967</v>
      </c>
      <c r="E26" s="45"/>
      <c r="F26" s="45"/>
      <c r="G26" s="37"/>
      <c r="H26" s="37"/>
      <c r="I26" s="37"/>
      <c r="J26" s="37"/>
      <c r="K26" s="37"/>
      <c r="L26" s="45"/>
      <c r="M26" s="11" t="s">
        <v>139</v>
      </c>
      <c r="N26" s="45"/>
      <c r="O26" s="45"/>
    </row>
    <row r="27" spans="2:15">
      <c r="B27" s="45" t="s">
        <v>125</v>
      </c>
      <c r="C27" s="45"/>
      <c r="D27" s="46">
        <f>BS!D19-BS!C19</f>
        <v>9352.3999999999942</v>
      </c>
      <c r="E27" s="46"/>
      <c r="F27" s="45"/>
      <c r="G27" s="37"/>
      <c r="H27" s="37"/>
      <c r="I27" s="37"/>
      <c r="J27" s="37"/>
      <c r="K27" s="37"/>
      <c r="L27" s="45"/>
      <c r="M27" s="11" t="s">
        <v>140</v>
      </c>
      <c r="N27" s="45"/>
      <c r="O27" s="45"/>
    </row>
    <row r="28" spans="2:15">
      <c r="B28" s="45" t="s">
        <v>126</v>
      </c>
      <c r="C28" s="45"/>
      <c r="D28" s="46">
        <f>BS!D21-BS!C21-'P&amp;L'!D24</f>
        <v>-4214.2613333332665</v>
      </c>
      <c r="E28" s="46"/>
      <c r="F28" s="45"/>
      <c r="G28" s="37"/>
      <c r="H28" s="37"/>
      <c r="I28" s="37"/>
      <c r="J28" s="37"/>
      <c r="K28" s="37"/>
      <c r="L28" s="45"/>
      <c r="M28" s="11" t="s">
        <v>141</v>
      </c>
      <c r="N28" s="45"/>
      <c r="O28" s="45"/>
    </row>
    <row r="29" spans="2:15" ht="3.75" customHeight="1">
      <c r="B29" s="45"/>
      <c r="C29" s="45"/>
      <c r="D29" s="45"/>
      <c r="E29" s="45"/>
      <c r="F29" s="45"/>
      <c r="G29" s="69"/>
      <c r="H29" s="69"/>
      <c r="I29" s="69"/>
      <c r="J29" s="69"/>
      <c r="K29" s="69"/>
      <c r="L29" s="45"/>
      <c r="N29" s="45"/>
      <c r="O29" s="45"/>
    </row>
    <row r="30" spans="2:15">
      <c r="B30" s="77" t="s">
        <v>127</v>
      </c>
      <c r="C30" s="77"/>
      <c r="D30" s="78">
        <f>SUM(D23,D25:D28)</f>
        <v>7617.6000000000568</v>
      </c>
      <c r="E30" s="78"/>
      <c r="F30" s="77"/>
      <c r="G30" s="78"/>
      <c r="H30" s="78"/>
      <c r="I30" s="78"/>
      <c r="J30" s="78"/>
      <c r="K30" s="78"/>
      <c r="L30" s="45"/>
      <c r="M30" s="11" t="s">
        <v>142</v>
      </c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5" t="s">
        <v>136</v>
      </c>
      <c r="C32" s="65"/>
      <c r="D32" s="66">
        <f>BS!C12</f>
        <v>11791.199999999999</v>
      </c>
      <c r="E32" s="66"/>
      <c r="F32" s="66"/>
      <c r="G32" s="66"/>
      <c r="H32" s="66"/>
      <c r="I32" s="66"/>
      <c r="J32" s="66"/>
      <c r="K32" s="66"/>
      <c r="L32" s="45"/>
    </row>
    <row r="33" spans="2:12">
      <c r="B33" s="65" t="s">
        <v>137</v>
      </c>
      <c r="C33" s="65"/>
      <c r="D33" s="66">
        <f>D30+D32</f>
        <v>19408.800000000054</v>
      </c>
      <c r="E33" s="66"/>
      <c r="F33" s="66"/>
      <c r="G33" s="66"/>
      <c r="H33" s="66"/>
      <c r="I33" s="66"/>
      <c r="J33" s="66"/>
      <c r="K33" s="66"/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hidden="1" outlineLevel="1">
      <c r="B35" s="45" t="s">
        <v>110</v>
      </c>
      <c r="C35" s="45"/>
      <c r="D35" s="45">
        <f>BS!D12</f>
        <v>19408.8</v>
      </c>
      <c r="E35" s="45"/>
      <c r="F35" s="45"/>
      <c r="G35" s="46"/>
      <c r="H35" s="46"/>
      <c r="I35" s="46"/>
      <c r="J35" s="46"/>
      <c r="K35" s="46"/>
      <c r="L35" s="45"/>
    </row>
    <row r="36" spans="2:12" hidden="1" outlineLevel="1">
      <c r="D36" s="58">
        <f>D33-D35</f>
        <v>5.4569682106375694E-11</v>
      </c>
      <c r="E36" s="58"/>
    </row>
    <row r="37" spans="2:12" collapsed="1"/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0"/>
      <c r="C11" s="70"/>
      <c r="D11" s="70"/>
      <c r="E11" s="70"/>
      <c r="F11" s="70"/>
      <c r="G11" s="71"/>
      <c r="H11" s="71"/>
      <c r="I11" s="71"/>
      <c r="J11" s="71"/>
      <c r="K11" s="71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8"/>
      <c r="K5" s="68"/>
      <c r="L5" s="68"/>
      <c r="M5" s="68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2014-11-23T12:18:26Z</dcterms:modified>
</cp:coreProperties>
</file>