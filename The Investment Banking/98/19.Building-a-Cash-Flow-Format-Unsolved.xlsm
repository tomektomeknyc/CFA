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345" windowWidth="14805" windowHeight="7770" firstSheet="4" activeTab="7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J4" i="7" l="1"/>
  <c r="I4" i="7"/>
  <c r="E19" i="7"/>
  <c r="J19" i="7" s="1"/>
  <c r="D19" i="7"/>
  <c r="E12" i="7"/>
  <c r="D12" i="7"/>
  <c r="E6" i="7"/>
  <c r="K6" i="7" s="1"/>
  <c r="D6" i="7"/>
  <c r="E4" i="7"/>
  <c r="H4" i="7" s="1"/>
  <c r="D4" i="7"/>
  <c r="C19" i="7"/>
  <c r="C12" i="7"/>
  <c r="C6" i="7"/>
  <c r="C4" i="7"/>
  <c r="H6" i="7" l="1"/>
  <c r="K19" i="7"/>
  <c r="I6" i="7"/>
  <c r="H19" i="7"/>
  <c r="G4" i="7"/>
  <c r="K4" i="7"/>
  <c r="J6" i="7"/>
  <c r="I19" i="7"/>
  <c r="G19" i="7"/>
  <c r="G6" i="7"/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E11" i="9" l="1"/>
  <c r="E16" i="7" s="1"/>
  <c r="D11" i="9"/>
  <c r="D16" i="7" s="1"/>
  <c r="C11" i="9"/>
  <c r="C16" i="7" s="1"/>
  <c r="E8" i="9"/>
  <c r="E8" i="7" s="1"/>
  <c r="E14" i="7" s="1"/>
  <c r="D8" i="9"/>
  <c r="D8" i="7" s="1"/>
  <c r="D14" i="7" s="1"/>
  <c r="C8" i="9"/>
  <c r="C8" i="7" s="1"/>
  <c r="C14" i="7" s="1"/>
  <c r="E5" i="9"/>
  <c r="E9" i="7" s="1"/>
  <c r="D5" i="9"/>
  <c r="D9" i="7" s="1"/>
  <c r="C5" i="9"/>
  <c r="C9" i="7" s="1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C8" i="5" l="1"/>
  <c r="C12" i="9"/>
  <c r="C9" i="9"/>
  <c r="D11" i="5"/>
  <c r="E14" i="5"/>
  <c r="C18" i="5"/>
  <c r="D18" i="5"/>
  <c r="E11" i="5"/>
  <c r="E8" i="5"/>
  <c r="E9" i="9"/>
  <c r="E12" i="9"/>
  <c r="C14" i="5"/>
  <c r="D17" i="5"/>
  <c r="D40" i="8"/>
  <c r="E18" i="5"/>
  <c r="D8" i="5"/>
  <c r="D12" i="9"/>
  <c r="D9" i="9"/>
  <c r="C11" i="5"/>
  <c r="D14" i="5"/>
  <c r="E17" i="5"/>
  <c r="G39" i="8"/>
  <c r="E40" i="8"/>
  <c r="E15" i="8"/>
  <c r="D15" i="8"/>
  <c r="D5" i="5" s="1"/>
  <c r="C15" i="8"/>
  <c r="C5" i="5" s="1"/>
  <c r="D16" i="8" l="1"/>
  <c r="H39" i="8"/>
  <c r="G17" i="5"/>
  <c r="E5" i="5"/>
  <c r="G15" i="8"/>
  <c r="E16" i="8"/>
  <c r="J12" i="9"/>
  <c r="I12" i="9"/>
  <c r="H12" i="9"/>
  <c r="K12" i="9"/>
  <c r="G12" i="9"/>
  <c r="K9" i="9"/>
  <c r="G9" i="9"/>
  <c r="J9" i="9"/>
  <c r="I9" i="9"/>
  <c r="H9" i="9"/>
  <c r="K10" i="8"/>
  <c r="J10" i="8"/>
  <c r="I10" i="8"/>
  <c r="H10" i="8"/>
  <c r="G10" i="8"/>
  <c r="I39" i="8" l="1"/>
  <c r="H17" i="5"/>
  <c r="G9" i="8"/>
  <c r="H15" i="8"/>
  <c r="G5" i="5"/>
  <c r="E9" i="8"/>
  <c r="E10" i="8" s="1"/>
  <c r="D9" i="8"/>
  <c r="C9" i="8"/>
  <c r="C4" i="5" l="1"/>
  <c r="C6" i="5" s="1"/>
  <c r="C9" i="5" s="1"/>
  <c r="C12" i="5" s="1"/>
  <c r="C15" i="5" s="1"/>
  <c r="C19" i="5" s="1"/>
  <c r="C15" i="9"/>
  <c r="C18" i="9"/>
  <c r="C21" i="9"/>
  <c r="C6" i="9"/>
  <c r="C46" i="8"/>
  <c r="C34" i="8"/>
  <c r="C22" i="8"/>
  <c r="C28" i="8"/>
  <c r="I15" i="8"/>
  <c r="H5" i="5"/>
  <c r="D4" i="5"/>
  <c r="D6" i="5" s="1"/>
  <c r="D9" i="5" s="1"/>
  <c r="D12" i="5" s="1"/>
  <c r="D15" i="5" s="1"/>
  <c r="D19" i="5" s="1"/>
  <c r="D15" i="9"/>
  <c r="D18" i="9"/>
  <c r="D21" i="9"/>
  <c r="D6" i="9"/>
  <c r="D46" i="8"/>
  <c r="D28" i="8"/>
  <c r="D22" i="8"/>
  <c r="D34" i="8"/>
  <c r="H9" i="8"/>
  <c r="G4" i="5"/>
  <c r="G6" i="5" s="1"/>
  <c r="G45" i="8"/>
  <c r="G18" i="5" s="1"/>
  <c r="G27" i="8"/>
  <c r="G11" i="5" s="1"/>
  <c r="G21" i="8"/>
  <c r="G33" i="8"/>
  <c r="G14" i="5" s="1"/>
  <c r="E4" i="5"/>
  <c r="E6" i="5" s="1"/>
  <c r="E9" i="5" s="1"/>
  <c r="E12" i="5" s="1"/>
  <c r="E15" i="5" s="1"/>
  <c r="E19" i="5" s="1"/>
  <c r="E18" i="9"/>
  <c r="E21" i="9"/>
  <c r="E15" i="9"/>
  <c r="E6" i="9"/>
  <c r="E46" i="8"/>
  <c r="E34" i="8"/>
  <c r="E28" i="8"/>
  <c r="E22" i="8"/>
  <c r="J39" i="8"/>
  <c r="I17" i="5"/>
  <c r="D10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K39" i="8" l="1"/>
  <c r="K17" i="5" s="1"/>
  <c r="J17" i="5"/>
  <c r="D24" i="5"/>
  <c r="D22" i="5"/>
  <c r="J21" i="9"/>
  <c r="I21" i="9"/>
  <c r="H21" i="9"/>
  <c r="H20" i="9" s="1"/>
  <c r="H17" i="7" s="1"/>
  <c r="K21" i="9"/>
  <c r="G21" i="9"/>
  <c r="G20" i="9" s="1"/>
  <c r="G17" i="7" s="1"/>
  <c r="E24" i="5"/>
  <c r="E22" i="5"/>
  <c r="K18" i="9"/>
  <c r="G18" i="9"/>
  <c r="G17" i="9" s="1"/>
  <c r="G10" i="7" s="1"/>
  <c r="J18" i="9"/>
  <c r="I18" i="9"/>
  <c r="H18" i="9"/>
  <c r="H17" i="9" s="1"/>
  <c r="H10" i="7" s="1"/>
  <c r="H6" i="9"/>
  <c r="H5" i="9" s="1"/>
  <c r="H9" i="7" s="1"/>
  <c r="K6" i="9"/>
  <c r="G6" i="9"/>
  <c r="G5" i="9" s="1"/>
  <c r="G9" i="7" s="1"/>
  <c r="J6" i="9"/>
  <c r="I6" i="9"/>
  <c r="J15" i="8"/>
  <c r="I5" i="5"/>
  <c r="H15" i="9"/>
  <c r="H14" i="9" s="1"/>
  <c r="H5" i="7" s="1"/>
  <c r="K15" i="9"/>
  <c r="G15" i="9"/>
  <c r="G14" i="9" s="1"/>
  <c r="G5" i="7" s="1"/>
  <c r="J15" i="9"/>
  <c r="I15" i="9"/>
  <c r="I14" i="9" s="1"/>
  <c r="I5" i="7" s="1"/>
  <c r="G8" i="5"/>
  <c r="G9" i="5" s="1"/>
  <c r="G12" i="5" s="1"/>
  <c r="G15" i="5" s="1"/>
  <c r="G19" i="5" s="1"/>
  <c r="G11" i="9"/>
  <c r="G16" i="7" s="1"/>
  <c r="G8" i="9"/>
  <c r="G8" i="7" s="1"/>
  <c r="I9" i="8"/>
  <c r="H4" i="5"/>
  <c r="H6" i="5" s="1"/>
  <c r="H45" i="8"/>
  <c r="H18" i="5" s="1"/>
  <c r="H27" i="8"/>
  <c r="H11" i="5" s="1"/>
  <c r="H33" i="8"/>
  <c r="H14" i="5" s="1"/>
  <c r="H21" i="8"/>
  <c r="C24" i="5"/>
  <c r="C22" i="5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G21" i="5" l="1"/>
  <c r="G24" i="5" s="1"/>
  <c r="G14" i="7"/>
  <c r="K15" i="8"/>
  <c r="K5" i="5" s="1"/>
  <c r="J5" i="5"/>
  <c r="I17" i="9"/>
  <c r="I10" i="7" s="1"/>
  <c r="H8" i="5"/>
  <c r="H9" i="5" s="1"/>
  <c r="H12" i="5" s="1"/>
  <c r="H15" i="5" s="1"/>
  <c r="H19" i="5" s="1"/>
  <c r="H8" i="9"/>
  <c r="H8" i="7" s="1"/>
  <c r="H11" i="9"/>
  <c r="H16" i="7" s="1"/>
  <c r="J17" i="9"/>
  <c r="J10" i="7" s="1"/>
  <c r="I20" i="9"/>
  <c r="I17" i="7" s="1"/>
  <c r="J9" i="8"/>
  <c r="J14" i="9" s="1"/>
  <c r="J5" i="7" s="1"/>
  <c r="I4" i="5"/>
  <c r="I6" i="5" s="1"/>
  <c r="I45" i="8"/>
  <c r="I18" i="5" s="1"/>
  <c r="I27" i="8"/>
  <c r="I11" i="5" s="1"/>
  <c r="I33" i="8"/>
  <c r="I14" i="5" s="1"/>
  <c r="I21" i="8"/>
  <c r="H14" i="7"/>
  <c r="I5" i="9"/>
  <c r="I9" i="7" s="1"/>
  <c r="J20" i="9"/>
  <c r="J17" i="7" s="1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D23" i="7" s="1"/>
  <c r="D26" i="7" s="1"/>
  <c r="J8" i="3"/>
  <c r="C21" i="7" s="1"/>
  <c r="C23" i="7" s="1"/>
  <c r="C26" i="7" s="1"/>
  <c r="H21" i="5" l="1"/>
  <c r="H24" i="5" s="1"/>
  <c r="G21" i="7"/>
  <c r="E23" i="7"/>
  <c r="E26" i="7" s="1"/>
  <c r="I8" i="5"/>
  <c r="I9" i="5" s="1"/>
  <c r="I12" i="5" s="1"/>
  <c r="I15" i="5" s="1"/>
  <c r="I19" i="5" s="1"/>
  <c r="I11" i="9"/>
  <c r="I16" i="7" s="1"/>
  <c r="I8" i="9"/>
  <c r="I8" i="7" s="1"/>
  <c r="I14" i="7" s="1"/>
  <c r="K9" i="8"/>
  <c r="J4" i="5"/>
  <c r="J6" i="5" s="1"/>
  <c r="J45" i="8"/>
  <c r="J18" i="5" s="1"/>
  <c r="J27" i="8"/>
  <c r="J11" i="5" s="1"/>
  <c r="J21" i="8"/>
  <c r="J33" i="8"/>
  <c r="J14" i="5" s="1"/>
  <c r="J5" i="9"/>
  <c r="J9" i="7" s="1"/>
  <c r="D19" i="3"/>
  <c r="F19" i="3"/>
  <c r="L19" i="3"/>
  <c r="J19" i="3"/>
  <c r="K19" i="3"/>
  <c r="E19" i="3"/>
  <c r="I21" i="5" l="1"/>
  <c r="I24" i="5" s="1"/>
  <c r="J8" i="5"/>
  <c r="J9" i="5" s="1"/>
  <c r="J12" i="5" s="1"/>
  <c r="J15" i="5" s="1"/>
  <c r="J19" i="5" s="1"/>
  <c r="J11" i="9"/>
  <c r="J16" i="7" s="1"/>
  <c r="J8" i="9"/>
  <c r="J8" i="7" s="1"/>
  <c r="J14" i="7" s="1"/>
  <c r="K4" i="5"/>
  <c r="K6" i="5" s="1"/>
  <c r="K45" i="8"/>
  <c r="K18" i="5" s="1"/>
  <c r="K27" i="8"/>
  <c r="K11" i="5" s="1"/>
  <c r="K33" i="8"/>
  <c r="K14" i="5" s="1"/>
  <c r="K21" i="8"/>
  <c r="K14" i="9"/>
  <c r="K5" i="7" s="1"/>
  <c r="K17" i="9"/>
  <c r="K10" i="7" s="1"/>
  <c r="K5" i="9"/>
  <c r="K9" i="7" s="1"/>
  <c r="K20" i="9"/>
  <c r="K17" i="7" s="1"/>
  <c r="H21" i="7"/>
  <c r="G23" i="7"/>
  <c r="L22" i="3"/>
  <c r="K22" i="3"/>
  <c r="J22" i="3"/>
  <c r="J21" i="5" l="1"/>
  <c r="J24" i="5" s="1"/>
  <c r="K8" i="5"/>
  <c r="K9" i="5" s="1"/>
  <c r="K12" i="5" s="1"/>
  <c r="K15" i="5" s="1"/>
  <c r="K19" i="5" s="1"/>
  <c r="K11" i="9"/>
  <c r="K16" i="7" s="1"/>
  <c r="K8" i="9"/>
  <c r="K8" i="7" s="1"/>
  <c r="K14" i="7" s="1"/>
  <c r="I21" i="7"/>
  <c r="H23" i="7"/>
  <c r="K21" i="5" l="1"/>
  <c r="K24" i="5" s="1"/>
  <c r="J21" i="7"/>
  <c r="I23" i="7"/>
  <c r="K21" i="7" l="1"/>
  <c r="K23" i="7" s="1"/>
  <c r="J23" i="7"/>
</calcChain>
</file>

<file path=xl/sharedStrings.xml><?xml version="1.0" encoding="utf-8"?>
<sst xmlns="http://schemas.openxmlformats.org/spreadsheetml/2006/main" count="238" uniqueCount="114">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</sst>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6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5" fillId="0" borderId="0" applyNumberFormat="0" applyFill="0" applyBorder="0" applyAlignment="0" applyProtection="0"/>
  </cellStyleXfs>
  <cellXfs count="85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1">
        <v>1</v>
      </c>
      <c r="C5" s="52" t="s">
        <v>70</v>
      </c>
    </row>
    <row r="6" spans="2:3">
      <c r="B6" s="29">
        <f>B5+1</f>
        <v>2</v>
      </c>
      <c r="C6" s="63" t="s">
        <v>26</v>
      </c>
    </row>
    <row r="7" spans="2:3">
      <c r="B7" s="29">
        <f t="shared" ref="B7:B21" si="0">B6+1</f>
        <v>3</v>
      </c>
      <c r="C7" s="63" t="s">
        <v>27</v>
      </c>
    </row>
    <row r="8" spans="2:3">
      <c r="B8" s="51">
        <f t="shared" si="0"/>
        <v>4</v>
      </c>
      <c r="C8" s="52" t="s">
        <v>71</v>
      </c>
    </row>
    <row r="9" spans="2:3">
      <c r="B9" s="29">
        <f t="shared" si="0"/>
        <v>5</v>
      </c>
      <c r="C9" s="63" t="s">
        <v>6</v>
      </c>
    </row>
    <row r="10" spans="2:3">
      <c r="B10" s="29">
        <f t="shared" si="0"/>
        <v>6</v>
      </c>
      <c r="C10" s="63" t="s">
        <v>25</v>
      </c>
    </row>
    <row r="11" spans="2:3">
      <c r="B11" s="29">
        <f t="shared" si="0"/>
        <v>7</v>
      </c>
      <c r="C11" s="63" t="s">
        <v>28</v>
      </c>
    </row>
    <row r="12" spans="2:3">
      <c r="B12" s="29">
        <f t="shared" si="0"/>
        <v>8</v>
      </c>
      <c r="C12" s="63" t="s">
        <v>65</v>
      </c>
    </row>
    <row r="13" spans="2:3">
      <c r="B13" s="51">
        <f t="shared" si="0"/>
        <v>9</v>
      </c>
      <c r="C13" s="52" t="s">
        <v>77</v>
      </c>
    </row>
    <row r="14" spans="2:3">
      <c r="B14" s="29">
        <f t="shared" si="0"/>
        <v>10</v>
      </c>
      <c r="C14" s="63" t="s">
        <v>72</v>
      </c>
    </row>
    <row r="15" spans="2:3">
      <c r="B15" s="29">
        <f t="shared" si="0"/>
        <v>11</v>
      </c>
      <c r="C15" s="63" t="s">
        <v>69</v>
      </c>
    </row>
    <row r="16" spans="2:3">
      <c r="B16" s="29">
        <f t="shared" si="0"/>
        <v>12</v>
      </c>
      <c r="C16" s="63" t="s">
        <v>73</v>
      </c>
    </row>
    <row r="17" spans="2:3">
      <c r="B17" s="29">
        <f t="shared" si="0"/>
        <v>13</v>
      </c>
      <c r="C17" s="63" t="s">
        <v>74</v>
      </c>
    </row>
    <row r="18" spans="2:3">
      <c r="B18" s="29">
        <f t="shared" si="0"/>
        <v>14</v>
      </c>
      <c r="C18" s="63" t="s">
        <v>75</v>
      </c>
    </row>
    <row r="19" spans="2:3">
      <c r="B19" s="51">
        <f t="shared" si="0"/>
        <v>15</v>
      </c>
      <c r="C19" s="52" t="s">
        <v>76</v>
      </c>
    </row>
    <row r="20" spans="2:3">
      <c r="B20" s="29">
        <f t="shared" si="0"/>
        <v>16</v>
      </c>
      <c r="C20" s="63" t="s">
        <v>1</v>
      </c>
    </row>
    <row r="21" spans="2:3">
      <c r="B21" s="29">
        <f t="shared" si="0"/>
        <v>17</v>
      </c>
      <c r="C21" s="63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G9" sqref="G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69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45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0"/>
      <c r="D11" s="70"/>
      <c r="E11" s="70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0"/>
      <c r="D12" s="70"/>
      <c r="E12" s="70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0"/>
      <c r="D13" s="70"/>
      <c r="E13" s="70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0"/>
      <c r="D17" s="70"/>
      <c r="E17" s="70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0"/>
      <c r="D18" s="70"/>
      <c r="E18" s="70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0"/>
      <c r="D19" s="70"/>
      <c r="E19" s="70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47">
        <f>G$9*G22</f>
        <v>-174193.976</v>
      </c>
      <c r="H21" s="47">
        <f t="shared" ref="H21:K21" si="6">H$9*H22</f>
        <v>-191613.37360000002</v>
      </c>
      <c r="I21" s="47">
        <f t="shared" si="6"/>
        <v>-210774.71096000005</v>
      </c>
      <c r="J21" s="47">
        <f t="shared" si="6"/>
        <v>-231852.18205600011</v>
      </c>
      <c r="K21" s="47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0"/>
      <c r="D23" s="70"/>
      <c r="E23" s="70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0"/>
      <c r="D24" s="70"/>
      <c r="E24" s="70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0"/>
      <c r="D25" s="70"/>
      <c r="E25" s="70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47">
        <f>G$9*G28</f>
        <v>-22920.260000000002</v>
      </c>
      <c r="H27" s="47">
        <f t="shared" ref="H27:K27" si="8">H$9*H28</f>
        <v>-25212.286000000004</v>
      </c>
      <c r="I27" s="47">
        <f t="shared" si="8"/>
        <v>-27733.51460000001</v>
      </c>
      <c r="J27" s="47">
        <f t="shared" si="8"/>
        <v>-30506.866060000015</v>
      </c>
      <c r="K27" s="47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0"/>
      <c r="D29" s="70"/>
      <c r="E29" s="70"/>
      <c r="G29" s="71">
        <v>-0.1</v>
      </c>
      <c r="H29" s="71">
        <v>-0.1</v>
      </c>
      <c r="I29" s="71">
        <v>-0.1</v>
      </c>
      <c r="J29" s="71">
        <v>-0.1</v>
      </c>
      <c r="K29" s="71">
        <v>-0.1</v>
      </c>
    </row>
    <row r="30" spans="2:11" ht="12" customHeight="1">
      <c r="B30" s="7" t="s">
        <v>89</v>
      </c>
      <c r="C30" s="70"/>
      <c r="D30" s="70"/>
      <c r="E30" s="70"/>
      <c r="G30" s="71">
        <v>-0.105</v>
      </c>
      <c r="H30" s="71">
        <v>-0.105</v>
      </c>
      <c r="I30" s="71">
        <v>-0.105</v>
      </c>
      <c r="J30" s="71">
        <v>-0.105</v>
      </c>
      <c r="K30" s="71">
        <v>-0.105</v>
      </c>
    </row>
    <row r="31" spans="2:11" ht="12" customHeight="1">
      <c r="B31" s="7" t="s">
        <v>90</v>
      </c>
      <c r="C31" s="70"/>
      <c r="D31" s="70"/>
      <c r="E31" s="70"/>
      <c r="G31" s="71">
        <v>-0.11</v>
      </c>
      <c r="H31" s="71">
        <v>-0.11</v>
      </c>
      <c r="I31" s="71">
        <v>-0.11</v>
      </c>
      <c r="J31" s="71">
        <v>-0.11</v>
      </c>
      <c r="K31" s="71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47">
        <f>G$9*G34</f>
        <v>-4584.0520000000006</v>
      </c>
      <c r="H33" s="47">
        <f t="shared" ref="H33:K33" si="10">H$9*H34</f>
        <v>-5042.4572000000007</v>
      </c>
      <c r="I33" s="47">
        <f t="shared" si="10"/>
        <v>-5546.7029200000015</v>
      </c>
      <c r="J33" s="47">
        <f t="shared" si="10"/>
        <v>-6101.3732120000022</v>
      </c>
      <c r="K33" s="47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0"/>
      <c r="D35" s="70"/>
      <c r="E35" s="70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0"/>
      <c r="D36" s="70"/>
      <c r="E36" s="70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0"/>
      <c r="D37" s="70"/>
      <c r="E37" s="70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45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0"/>
      <c r="D41" s="70"/>
      <c r="E41" s="70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0"/>
      <c r="D42" s="70"/>
      <c r="E42" s="70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0"/>
      <c r="D43" s="70"/>
      <c r="E43" s="70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47">
        <f>G$9*G46</f>
        <v>0</v>
      </c>
      <c r="H45" s="47">
        <f t="shared" ref="H45:K45" si="16">H$9*H46</f>
        <v>0</v>
      </c>
      <c r="I45" s="47">
        <f t="shared" si="16"/>
        <v>0</v>
      </c>
      <c r="J45" s="47">
        <f t="shared" si="16"/>
        <v>0</v>
      </c>
      <c r="K45" s="47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0"/>
      <c r="D47" s="70"/>
      <c r="E47" s="70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0"/>
      <c r="D48" s="70"/>
      <c r="E48" s="70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0"/>
      <c r="D49" s="70"/>
      <c r="E49" s="70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0"/>
      <c r="D53" s="70"/>
      <c r="E53" s="70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0"/>
      <c r="D54" s="70"/>
      <c r="E54" s="70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0"/>
      <c r="D55" s="70"/>
      <c r="E55" s="70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46"/>
      <c r="H57" s="46"/>
      <c r="I57" s="46"/>
      <c r="J57" s="46"/>
      <c r="K57" s="46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49">
        <f>$E$6</f>
        <v>75.297198199322338</v>
      </c>
      <c r="H6" s="49">
        <f t="shared" ref="H6:K6" si="0">$E$6</f>
        <v>75.297198199322338</v>
      </c>
      <c r="I6" s="49">
        <f t="shared" si="0"/>
        <v>75.297198199322338</v>
      </c>
      <c r="J6" s="49">
        <f t="shared" si="0"/>
        <v>75.297198199322338</v>
      </c>
      <c r="K6" s="49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49">
        <f>$E$9</f>
        <v>105.61192646702818</v>
      </c>
      <c r="H9" s="49">
        <f t="shared" ref="H9:K9" si="1">$E$9</f>
        <v>105.61192646702818</v>
      </c>
      <c r="I9" s="49">
        <f t="shared" si="1"/>
        <v>105.61192646702818</v>
      </c>
      <c r="J9" s="49">
        <f t="shared" si="1"/>
        <v>105.61192646702818</v>
      </c>
      <c r="K9" s="49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49">
        <f>$E$12</f>
        <v>82.706945686643365</v>
      </c>
      <c r="H12" s="49">
        <f t="shared" ref="H12:K12" si="2">$E$12</f>
        <v>82.706945686643365</v>
      </c>
      <c r="I12" s="49">
        <f t="shared" si="2"/>
        <v>82.706945686643365</v>
      </c>
      <c r="J12" s="49">
        <f t="shared" si="2"/>
        <v>82.706945686643365</v>
      </c>
      <c r="K12" s="49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48">
        <f>C14/'P&amp;L assumptions'!C$9</f>
        <v>0.25454648059005774</v>
      </c>
      <c r="D15" s="48">
        <f>D14/'P&amp;L assumptions'!D$9</f>
        <v>0.26016817058817293</v>
      </c>
      <c r="E15" s="48">
        <f>E14/'P&amp;L assumptions'!E$9</f>
        <v>0.26928193659234229</v>
      </c>
      <c r="G15" s="72">
        <f>AVERAGE($C15:$E15)</f>
        <v>0.26133219592352436</v>
      </c>
      <c r="H15" s="72">
        <f t="shared" ref="H15:K15" si="3">AVERAGE($C15:$E15)</f>
        <v>0.26133219592352436</v>
      </c>
      <c r="I15" s="72">
        <f t="shared" si="3"/>
        <v>0.26133219592352436</v>
      </c>
      <c r="J15" s="72">
        <f t="shared" si="3"/>
        <v>0.26133219592352436</v>
      </c>
      <c r="K15" s="72">
        <f t="shared" si="3"/>
        <v>0.26133219592352436</v>
      </c>
    </row>
    <row r="16" spans="2:11">
      <c r="C16" s="13"/>
      <c r="D16" s="13"/>
      <c r="E16" s="13"/>
      <c r="G16" s="73"/>
      <c r="H16" s="73"/>
      <c r="I16" s="73"/>
      <c r="J16" s="73"/>
      <c r="K16" s="73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48">
        <f>C17/'P&amp;L assumptions'!C$9</f>
        <v>4.9895317799360059E-2</v>
      </c>
      <c r="D18" s="48">
        <f>D17/'P&amp;L assumptions'!D$9</f>
        <v>6.0223308485934532E-2</v>
      </c>
      <c r="E18" s="48">
        <f>E17/'P&amp;L assumptions'!E$9</f>
        <v>8.4480193505658316E-2</v>
      </c>
      <c r="G18" s="72">
        <f>AVERAGE($C18:$E18)</f>
        <v>6.4866273263650964E-2</v>
      </c>
      <c r="H18" s="72">
        <f t="shared" ref="H18:K18" si="4">AVERAGE($C18:$E18)</f>
        <v>6.4866273263650964E-2</v>
      </c>
      <c r="I18" s="72">
        <f t="shared" si="4"/>
        <v>6.4866273263650964E-2</v>
      </c>
      <c r="J18" s="72">
        <f t="shared" si="4"/>
        <v>6.4866273263650964E-2</v>
      </c>
      <c r="K18" s="72">
        <f t="shared" si="4"/>
        <v>6.4866273263650964E-2</v>
      </c>
    </row>
    <row r="19" spans="2:11">
      <c r="C19" s="13"/>
      <c r="D19" s="13"/>
      <c r="E19" s="13"/>
      <c r="G19" s="73"/>
      <c r="H19" s="73"/>
      <c r="I19" s="73"/>
      <c r="J19" s="73"/>
      <c r="K19" s="73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48">
        <f>C20/'P&amp;L assumptions'!C$9</f>
        <v>3.368474950574589E-2</v>
      </c>
      <c r="D21" s="48">
        <f>D20/'P&amp;L assumptions'!D$9</f>
        <v>3.0751868856630889E-2</v>
      </c>
      <c r="E21" s="48">
        <f>E20/'P&amp;L assumptions'!E$9</f>
        <v>4.0666166387016318E-2</v>
      </c>
      <c r="G21" s="72">
        <f>AVERAGE($C21:$E21)</f>
        <v>3.5034261583131034E-2</v>
      </c>
      <c r="H21" s="72">
        <f t="shared" ref="H21:K21" si="5">AVERAGE($C21:$E21)</f>
        <v>3.5034261583131034E-2</v>
      </c>
      <c r="I21" s="72">
        <f t="shared" si="5"/>
        <v>3.5034261583131034E-2</v>
      </c>
      <c r="J21" s="72">
        <f t="shared" si="5"/>
        <v>3.5034261583131034E-2</v>
      </c>
      <c r="K21" s="72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N12" sqref="N12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6">
        <f>+SUMIF('P&amp;L assumptions'!$B:$B,'P&amp;L'!$B5,'P&amp;L assumptions'!C:C)</f>
        <v>3520</v>
      </c>
      <c r="D5" s="36">
        <f>+SUMIF('P&amp;L assumptions'!$B:$B,'P&amp;L'!$B5,'P&amp;L assumptions'!D:D)</f>
        <v>2416</v>
      </c>
      <c r="E5" s="36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76" t="s">
        <v>101</v>
      </c>
      <c r="C6" s="77">
        <f>+C4+C5</f>
        <v>180723</v>
      </c>
      <c r="D6" s="77">
        <f>+D4+D5</f>
        <v>191034</v>
      </c>
      <c r="E6" s="77">
        <f>+E4+E5</f>
        <v>210951</v>
      </c>
      <c r="F6" s="78"/>
      <c r="G6" s="79">
        <f t="shared" ref="G6:K6" si="0">+G4+G5</f>
        <v>231787.6</v>
      </c>
      <c r="H6" s="79">
        <f t="shared" si="0"/>
        <v>254707.86000000002</v>
      </c>
      <c r="I6" s="79">
        <f t="shared" si="0"/>
        <v>279920.14600000007</v>
      </c>
      <c r="J6" s="79">
        <f t="shared" si="0"/>
        <v>307653.66060000012</v>
      </c>
      <c r="K6" s="79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38"/>
      <c r="D7" s="38"/>
      <c r="E7" s="38"/>
      <c r="F7" s="40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6">
        <f>+SUMIF('P&amp;L assumptions'!$B:$B,'P&amp;L'!$B8,'P&amp;L assumptions'!C:C)</f>
        <v>-142394.36746666671</v>
      </c>
      <c r="D8" s="36">
        <f>+SUMIF('P&amp;L assumptions'!$B:$B,'P&amp;L'!$B8,'P&amp;L assumptions'!D:D)</f>
        <v>-150572.16639999999</v>
      </c>
      <c r="E8" s="36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76" t="s">
        <v>102</v>
      </c>
      <c r="C9" s="77">
        <f>+C6+C8</f>
        <v>38328.632533333293</v>
      </c>
      <c r="D9" s="77">
        <f>+D6+D8</f>
        <v>40461.833600000013</v>
      </c>
      <c r="E9" s="77">
        <f>+E6+E8</f>
        <v>53427.881574603001</v>
      </c>
      <c r="F9" s="78"/>
      <c r="G9" s="79">
        <f t="shared" ref="G9:K9" si="1">+G6+G8</f>
        <v>57593.624000000011</v>
      </c>
      <c r="H9" s="79">
        <f t="shared" si="1"/>
        <v>63094.486399999994</v>
      </c>
      <c r="I9" s="79">
        <f t="shared" si="1"/>
        <v>69145.435040000011</v>
      </c>
      <c r="J9" s="79">
        <f t="shared" si="1"/>
        <v>75801.478544000012</v>
      </c>
      <c r="K9" s="79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6">
        <f>+SUMIF('P&amp;L assumptions'!$B:$B,'P&amp;L'!$B11,'P&amp;L assumptions'!C:C)</f>
        <v>-18011.315200000005</v>
      </c>
      <c r="D11" s="36">
        <f>+SUMIF('P&amp;L assumptions'!$B:$B,'P&amp;L'!$B11,'P&amp;L assumptions'!D:D)</f>
        <v>-19247.897599999997</v>
      </c>
      <c r="E11" s="36">
        <f>+SUMIF('P&amp;L assumptions'!$B:$B,'P&amp;L'!$B11,'P&amp;L assumptions'!E:E)</f>
        <v>-23867.008000000009</v>
      </c>
      <c r="F11" s="36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76" t="s">
        <v>14</v>
      </c>
      <c r="C12" s="77">
        <f>+C9+C11</f>
        <v>20317.317333333289</v>
      </c>
      <c r="D12" s="77">
        <f>+D9+D11</f>
        <v>21213.936000000016</v>
      </c>
      <c r="E12" s="77">
        <f>+E9+E11</f>
        <v>29560.873574602992</v>
      </c>
      <c r="F12" s="78"/>
      <c r="G12" s="79">
        <f t="shared" ref="G12:K12" si="2">+G9+G11</f>
        <v>34673.364000000009</v>
      </c>
      <c r="H12" s="79">
        <f t="shared" si="2"/>
        <v>37882.200399999987</v>
      </c>
      <c r="I12" s="79">
        <f t="shared" si="2"/>
        <v>41411.920440000002</v>
      </c>
      <c r="J12" s="79">
        <f t="shared" si="2"/>
        <v>45294.612483999997</v>
      </c>
      <c r="K12" s="79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6"/>
      <c r="D13" s="36"/>
      <c r="E13" s="36"/>
      <c r="F13" s="36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6">
        <f>+SUMIF('P&amp;L assumptions'!$B:$B,'P&amp;L'!$B14,'P&amp;L assumptions'!C:C)</f>
        <v>-2907.8000000000006</v>
      </c>
      <c r="D14" s="36">
        <f>+SUMIF('P&amp;L assumptions'!$B:$B,'P&amp;L'!$B14,'P&amp;L assumptions'!D:D)</f>
        <v>-4649.8</v>
      </c>
      <c r="E14" s="36">
        <f>+SUMIF('P&amp;L assumptions'!$B:$B,'P&amp;L'!$B14,'P&amp;L assumptions'!E:E)</f>
        <v>-6430.6600000000008</v>
      </c>
      <c r="F14" s="36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76" t="s">
        <v>16</v>
      </c>
      <c r="C15" s="77">
        <f>+C12+C14</f>
        <v>17409.51733333329</v>
      </c>
      <c r="D15" s="77">
        <f>+D12+D14</f>
        <v>16564.136000000017</v>
      </c>
      <c r="E15" s="77">
        <f>+E12+E14</f>
        <v>23130.213574602993</v>
      </c>
      <c r="F15" s="78"/>
      <c r="G15" s="79">
        <f t="shared" ref="G15:K15" si="3">+G12+G14</f>
        <v>30089.312000000009</v>
      </c>
      <c r="H15" s="79">
        <f t="shared" si="3"/>
        <v>32839.743199999983</v>
      </c>
      <c r="I15" s="79">
        <f t="shared" si="3"/>
        <v>35865.217519999998</v>
      </c>
      <c r="J15" s="79">
        <f t="shared" si="3"/>
        <v>39193.239271999992</v>
      </c>
      <c r="K15" s="79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6">
        <f>+SUMIF('P&amp;L assumptions'!$B:$B,'P&amp;L'!$B17,'P&amp;L assumptions'!C:C)</f>
        <v>-1266.3000000000002</v>
      </c>
      <c r="D17" s="36">
        <f>+SUMIF('P&amp;L assumptions'!$B:$B,'P&amp;L'!$B17,'P&amp;L assumptions'!D:D)</f>
        <v>-2190.9</v>
      </c>
      <c r="E17" s="36">
        <f>+SUMIF('P&amp;L assumptions'!$B:$B,'P&amp;L'!$B17,'P&amp;L assumptions'!E:E)</f>
        <v>-2663.92</v>
      </c>
      <c r="F17" s="36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6">
        <f>+SUMIF('P&amp;L assumptions'!$B:$B,'P&amp;L'!$B18,'P&amp;L assumptions'!C:C)</f>
        <v>-317.58000000000004</v>
      </c>
      <c r="D18" s="36">
        <f>+SUMIF('P&amp;L assumptions'!$B:$B,'P&amp;L'!$B18,'P&amp;L assumptions'!D:D)</f>
        <v>-864.30000000000007</v>
      </c>
      <c r="E18" s="36">
        <f>+SUMIF('P&amp;L assumptions'!$B:$B,'P&amp;L'!$B18,'P&amp;L assumptions'!E:E)</f>
        <v>-320.26</v>
      </c>
      <c r="F18" s="36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6" t="s">
        <v>19</v>
      </c>
      <c r="C19" s="77">
        <f>+C15+C17+C18</f>
        <v>15825.63733333329</v>
      </c>
      <c r="D19" s="77">
        <f>+D15+D17+D18</f>
        <v>13508.936000000018</v>
      </c>
      <c r="E19" s="77">
        <f>+E15+E17+E18</f>
        <v>20146.033574602992</v>
      </c>
      <c r="F19" s="78"/>
      <c r="G19" s="79">
        <f t="shared" ref="G19:K19" si="4">+G15+G17+G18</f>
        <v>27425.392000000007</v>
      </c>
      <c r="H19" s="79">
        <f t="shared" si="4"/>
        <v>30175.823199999984</v>
      </c>
      <c r="I19" s="79">
        <f t="shared" si="4"/>
        <v>33201.29752</v>
      </c>
      <c r="J19" s="79">
        <f t="shared" si="4"/>
        <v>36529.319271999993</v>
      </c>
      <c r="K19" s="79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6"/>
      <c r="D20" s="36"/>
      <c r="E20" s="36"/>
      <c r="F20" s="36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0">
        <f>'P&amp;L assumptions'!C51</f>
        <v>-3805.7759999999998</v>
      </c>
      <c r="D21" s="50">
        <f>'P&amp;L assumptions'!D51</f>
        <v>-3050.192</v>
      </c>
      <c r="E21" s="50">
        <f>'P&amp;L assumptions'!E51</f>
        <v>-3814.88</v>
      </c>
      <c r="F21" s="36"/>
      <c r="G21" s="80">
        <f>G22*G19</f>
        <v>-4936.570560000001</v>
      </c>
      <c r="H21" s="34">
        <f t="shared" ref="H21:K21" si="5">H22*H19</f>
        <v>-5431.648175999997</v>
      </c>
      <c r="I21" s="34">
        <f t="shared" si="5"/>
        <v>-5976.2335536000001</v>
      </c>
      <c r="J21" s="34">
        <f t="shared" si="5"/>
        <v>-6575.2774689599983</v>
      </c>
      <c r="K21" s="34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7">
        <f>C21/C19</f>
        <v>-0.24048168928931246</v>
      </c>
      <c r="D22" s="37">
        <f t="shared" ref="D22:E22" si="6">D21/D19</f>
        <v>-0.22579069143565386</v>
      </c>
      <c r="E22" s="37">
        <f t="shared" si="6"/>
        <v>-0.18936134430001206</v>
      </c>
      <c r="F22" s="36"/>
      <c r="G22" s="42">
        <f>'P&amp;L assumptions'!G52</f>
        <v>-0.18</v>
      </c>
      <c r="H22" s="42">
        <f>'P&amp;L assumptions'!H52</f>
        <v>-0.18</v>
      </c>
      <c r="I22" s="42">
        <f>'P&amp;L assumptions'!I52</f>
        <v>-0.18</v>
      </c>
      <c r="J22" s="42">
        <f>'P&amp;L assumptions'!J52</f>
        <v>-0.18</v>
      </c>
      <c r="K22" s="42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6"/>
      <c r="D23" s="36"/>
      <c r="E23" s="36"/>
      <c r="F23" s="36"/>
      <c r="G23" s="41"/>
      <c r="H23" s="41"/>
      <c r="I23" s="41"/>
      <c r="J23" s="41"/>
      <c r="K23" s="41"/>
      <c r="L23" s="21"/>
      <c r="M23" s="21"/>
      <c r="N23" s="21"/>
      <c r="O23" s="21"/>
      <c r="P23" s="21"/>
      <c r="Q23" s="21"/>
    </row>
    <row r="24" spans="2:17">
      <c r="B24" s="74" t="s">
        <v>24</v>
      </c>
      <c r="C24" s="75">
        <f>+C19+C21</f>
        <v>12019.861333333291</v>
      </c>
      <c r="D24" s="75">
        <f>+D19+D21</f>
        <v>10458.744000000017</v>
      </c>
      <c r="E24" s="75">
        <f>+E19+E21</f>
        <v>16331.153574602991</v>
      </c>
      <c r="F24" s="75"/>
      <c r="G24" s="75">
        <f t="shared" ref="G24:K24" si="7">+G19+G21</f>
        <v>22488.821440000007</v>
      </c>
      <c r="H24" s="75">
        <f t="shared" si="7"/>
        <v>24744.175023999989</v>
      </c>
      <c r="I24" s="75">
        <f t="shared" si="7"/>
        <v>27225.063966400001</v>
      </c>
      <c r="J24" s="75">
        <f t="shared" si="7"/>
        <v>29954.041803039996</v>
      </c>
      <c r="K24" s="75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6"/>
      <c r="D25" s="36"/>
      <c r="E25" s="36"/>
      <c r="F25" s="36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6"/>
      <c r="D26" s="36"/>
      <c r="E26" s="36"/>
      <c r="F26" s="36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6"/>
      <c r="D27" s="36"/>
      <c r="E27" s="36"/>
      <c r="F27" s="36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6"/>
      <c r="D28" s="36"/>
      <c r="E28" s="36"/>
      <c r="F28" s="36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P16" sqref="P16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6">
        <f>+SUMIF('BS assumptions'!$B:$B,BS!$B10,'BS assumptions'!C:C)</f>
        <v>8841.6</v>
      </c>
      <c r="D10" s="36">
        <f>+SUMIF('BS assumptions'!$B:$B,BS!$B10,'BS assumptions'!D:D)</f>
        <v>11359.199999999999</v>
      </c>
      <c r="E10" s="36">
        <f>+SUMIF('BS assumptions'!$B:$B,BS!$B10,'BS assumptions'!E:E)</f>
        <v>17602.8</v>
      </c>
      <c r="F10" s="21"/>
      <c r="G10" s="34">
        <f>+SUMIF('BS assumptions'!$B:$B,BS!$B10,'BS assumptions'!G:G)</f>
        <v>14867.518484339287</v>
      </c>
      <c r="H10" s="34">
        <f>+SUMIF('BS assumptions'!$B:$B,BS!$B10,'BS assumptions'!H:H)</f>
        <v>16354.270332773216</v>
      </c>
      <c r="I10" s="34">
        <f>+SUMIF('BS assumptions'!$B:$B,BS!$B10,'BS assumptions'!I:I)</f>
        <v>17989.697366050539</v>
      </c>
      <c r="J10" s="34">
        <f>+SUMIF('BS assumptions'!$B:$B,BS!$B10,'BS assumptions'!J:J)</f>
        <v>19788.6671026556</v>
      </c>
      <c r="K10" s="34">
        <f>+SUMIF('BS assumptions'!$B:$B,BS!$B10,'BS assumptions'!K:K)</f>
        <v>21767.53381292116</v>
      </c>
      <c r="L10" s="21"/>
      <c r="M10" s="21"/>
    </row>
    <row r="11" spans="2:13" ht="3.75" customHeight="1">
      <c r="C11" s="36"/>
      <c r="D11" s="36"/>
      <c r="E11" s="36"/>
      <c r="F11" s="21"/>
      <c r="G11" s="34"/>
      <c r="H11" s="34"/>
      <c r="I11" s="34"/>
      <c r="J11" s="34"/>
      <c r="K11" s="34"/>
      <c r="L11" s="21"/>
      <c r="M11" s="21"/>
    </row>
    <row r="12" spans="2:13">
      <c r="B12" s="7" t="s">
        <v>36</v>
      </c>
      <c r="C12" s="36">
        <f>'BS source'!D14</f>
        <v>11791.199999999999</v>
      </c>
      <c r="D12" s="36">
        <f>'BS source'!E14</f>
        <v>19408.8</v>
      </c>
      <c r="E12" s="36">
        <f>'BS source'!F14</f>
        <v>8173.6</v>
      </c>
      <c r="F12" s="21"/>
      <c r="G12" s="34"/>
      <c r="H12" s="34"/>
      <c r="I12" s="34"/>
      <c r="J12" s="34"/>
      <c r="K12" s="34"/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4"/>
      <c r="H13" s="34"/>
      <c r="I13" s="34"/>
      <c r="J13" s="34"/>
      <c r="K13" s="34"/>
      <c r="L13" s="21"/>
      <c r="M13" s="21"/>
    </row>
    <row r="14" spans="2:13" ht="12.75" thickBot="1">
      <c r="B14" s="81" t="s">
        <v>37</v>
      </c>
      <c r="C14" s="82">
        <f>SUM(C4:C12)</f>
        <v>144575.6</v>
      </c>
      <c r="D14" s="82">
        <f t="shared" ref="D14:E14" si="2">SUM(D4:D12)</f>
        <v>170464.2</v>
      </c>
      <c r="E14" s="82">
        <f t="shared" si="2"/>
        <v>187652.19999999998</v>
      </c>
      <c r="F14" s="83"/>
      <c r="G14" s="84">
        <f t="shared" ref="G14:K14" si="3">SUM(G4:G12)</f>
        <v>189780.96776569623</v>
      </c>
      <c r="H14" s="84">
        <f t="shared" si="3"/>
        <v>207161.76454226588</v>
      </c>
      <c r="I14" s="84">
        <f t="shared" si="3"/>
        <v>226280.6409964925</v>
      </c>
      <c r="J14" s="84">
        <f t="shared" si="3"/>
        <v>247311.40509614177</v>
      </c>
      <c r="K14" s="84">
        <f t="shared" si="3"/>
        <v>270445.24560575595</v>
      </c>
      <c r="L14" s="21"/>
      <c r="M14" s="21"/>
    </row>
    <row r="15" spans="2:13">
      <c r="C15" s="36"/>
      <c r="D15" s="36"/>
      <c r="E15" s="36"/>
      <c r="F15" s="36"/>
      <c r="G15" s="34"/>
      <c r="H15" s="34"/>
      <c r="I15" s="34"/>
      <c r="J15" s="34"/>
      <c r="K15" s="34"/>
      <c r="L15" s="21"/>
      <c r="M15" s="21"/>
    </row>
    <row r="16" spans="2:13">
      <c r="B16" s="7" t="s">
        <v>44</v>
      </c>
      <c r="C16" s="36">
        <f>+SUMIF('BS assumptions'!$B:$B,BS!$B16,'BS assumptions'!C:C)</f>
        <v>15891.2</v>
      </c>
      <c r="D16" s="36">
        <f>+SUMIF('BS assumptions'!$B:$B,BS!$B16,'BS assumptions'!D:D)</f>
        <v>26351.599999999999</v>
      </c>
      <c r="E16" s="36">
        <f>+SUMIF('BS assumptions'!$B:$B,BS!$B16,'BS assumptions'!E:E)</f>
        <v>36189.599999999999</v>
      </c>
      <c r="F16" s="36"/>
      <c r="G16" s="34">
        <f>+SUMIF('BS assumptions'!$B:$B,BS!$B16,'BS assumptions'!G:G)</f>
        <v>40019.588088812387</v>
      </c>
      <c r="H16" s="34">
        <f>+SUMIF('BS assumptions'!$B:$B,BS!$B16,'BS assumptions'!H:H)</f>
        <v>44021.546897693624</v>
      </c>
      <c r="I16" s="34">
        <f>+SUMIF('BS assumptions'!$B:$B,BS!$B16,'BS assumptions'!I:I)</f>
        <v>48423.701587462994</v>
      </c>
      <c r="J16" s="34">
        <f>+SUMIF('BS assumptions'!$B:$B,BS!$B16,'BS assumptions'!J:J)</f>
        <v>53266.071746209302</v>
      </c>
      <c r="K16" s="34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6">
        <f>+SUMIF('BS assumptions'!$B:$B,BS!$B17,'BS assumptions'!C:C)</f>
        <v>5969.0386666666891</v>
      </c>
      <c r="D17" s="36">
        <f>+SUMIF('BS assumptions'!$B:$B,BS!$B17,'BS assumptions'!D:D)</f>
        <v>5800.3560000000052</v>
      </c>
      <c r="E17" s="36">
        <f>+SUMIF('BS assumptions'!$B:$B,BS!$B17,'BS assumptions'!E:E)</f>
        <v>8473.4464253970418</v>
      </c>
      <c r="F17" s="36"/>
      <c r="G17" s="34">
        <f>+SUMIF('BS assumptions'!$B:$B,BS!$B17,'BS assumptions'!G:G)</f>
        <v>8029.9438439337491</v>
      </c>
      <c r="H17" s="34">
        <f>+SUMIF('BS assumptions'!$B:$B,BS!$B17,'BS assumptions'!H:H)</f>
        <v>8832.9382283271243</v>
      </c>
      <c r="I17" s="34">
        <f>+SUMIF('BS assumptions'!$B:$B,BS!$B17,'BS assumptions'!I:I)</f>
        <v>9716.2320511598391</v>
      </c>
      <c r="J17" s="34">
        <f>+SUMIF('BS assumptions'!$B:$B,BS!$B17,'BS assumptions'!J:J)</f>
        <v>10687.855256275825</v>
      </c>
      <c r="K17" s="34">
        <f>+SUMIF('BS assumptions'!$B:$B,BS!$B17,'BS assumptions'!K:K)</f>
        <v>11756.640781903407</v>
      </c>
      <c r="L17" s="21"/>
      <c r="M17" s="21"/>
    </row>
    <row r="18" spans="2:13" ht="3.75" customHeight="1">
      <c r="C18" s="36"/>
      <c r="D18" s="36"/>
      <c r="E18" s="36"/>
      <c r="F18" s="36"/>
      <c r="G18" s="34"/>
      <c r="H18" s="34"/>
      <c r="I18" s="34"/>
      <c r="J18" s="34"/>
      <c r="K18" s="34"/>
      <c r="L18" s="21"/>
      <c r="M18" s="21"/>
    </row>
    <row r="19" spans="2:13">
      <c r="B19" s="7" t="s">
        <v>107</v>
      </c>
      <c r="C19" s="36">
        <f>'BS source'!J15+'BS source'!J16</f>
        <v>41293.000000000007</v>
      </c>
      <c r="D19" s="36">
        <f>'BS source'!K15+'BS source'!K16</f>
        <v>50645.4</v>
      </c>
      <c r="E19" s="36">
        <f>'BS source'!L15+'BS source'!L16</f>
        <v>51120.799999999996</v>
      </c>
      <c r="F19" s="36"/>
      <c r="G19" s="34">
        <f>$E$19</f>
        <v>51120.799999999996</v>
      </c>
      <c r="H19" s="34">
        <f t="shared" ref="H19:K19" si="4">$E$19</f>
        <v>51120.799999999996</v>
      </c>
      <c r="I19" s="34">
        <f t="shared" si="4"/>
        <v>51120.799999999996</v>
      </c>
      <c r="J19" s="34">
        <f t="shared" si="4"/>
        <v>51120.799999999996</v>
      </c>
      <c r="K19" s="34">
        <f t="shared" si="4"/>
        <v>51120.799999999996</v>
      </c>
      <c r="L19" s="21"/>
      <c r="M19" s="21" t="s">
        <v>113</v>
      </c>
    </row>
    <row r="20" spans="2:13" ht="3.75" customHeight="1">
      <c r="C20" s="36"/>
      <c r="D20" s="36"/>
      <c r="E20" s="36"/>
      <c r="F20" s="36"/>
      <c r="G20" s="34"/>
      <c r="H20" s="34"/>
      <c r="I20" s="34"/>
      <c r="J20" s="34"/>
      <c r="K20" s="34"/>
      <c r="L20" s="21"/>
      <c r="M20" s="21"/>
    </row>
    <row r="21" spans="2:13">
      <c r="B21" s="7" t="s">
        <v>108</v>
      </c>
      <c r="C21" s="36">
        <f>'BS source'!J8</f>
        <v>81422.361333333276</v>
      </c>
      <c r="D21" s="36">
        <f>'BS source'!K8</f>
        <v>87666.844000000026</v>
      </c>
      <c r="E21" s="36">
        <f>'BS source'!L8</f>
        <v>91868.353574602996</v>
      </c>
      <c r="F21" s="36"/>
      <c r="G21" s="34">
        <f>E21+'P&amp;L'!G24</f>
        <v>114357.17501460301</v>
      </c>
      <c r="H21" s="34">
        <f>G21+'P&amp;L'!H24</f>
        <v>139101.35003860301</v>
      </c>
      <c r="I21" s="34">
        <f>H21+'P&amp;L'!I24</f>
        <v>166326.414005003</v>
      </c>
      <c r="J21" s="34">
        <f>I21+'P&amp;L'!J24</f>
        <v>196280.45580804299</v>
      </c>
      <c r="K21" s="34">
        <f>J21+'P&amp;L'!K24</f>
        <v>229236.373231387</v>
      </c>
      <c r="L21" s="21"/>
      <c r="M21" s="21"/>
    </row>
    <row r="22" spans="2:13" ht="3.75" customHeight="1">
      <c r="C22" s="36"/>
      <c r="D22" s="36"/>
      <c r="E22" s="36"/>
      <c r="F22" s="36"/>
      <c r="G22" s="34"/>
      <c r="H22" s="34"/>
      <c r="I22" s="34"/>
      <c r="J22" s="34"/>
      <c r="K22" s="34"/>
      <c r="L22" s="21"/>
      <c r="M22" s="21"/>
    </row>
    <row r="23" spans="2:13" ht="12.75" thickBot="1">
      <c r="B23" s="81" t="s">
        <v>109</v>
      </c>
      <c r="C23" s="82">
        <f>+SUM(C16:C21)</f>
        <v>144575.59999999998</v>
      </c>
      <c r="D23" s="82">
        <f t="shared" ref="D23:E23" si="5">+SUM(D16:D21)</f>
        <v>170464.2</v>
      </c>
      <c r="E23" s="82">
        <f t="shared" si="5"/>
        <v>187652.2</v>
      </c>
      <c r="F23" s="83"/>
      <c r="G23" s="84">
        <f t="shared" ref="G23:K23" si="6">+SUM(G16:G21)</f>
        <v>213527.50694734915</v>
      </c>
      <c r="H23" s="84">
        <f t="shared" si="6"/>
        <v>243076.63516462376</v>
      </c>
      <c r="I23" s="84">
        <f t="shared" si="6"/>
        <v>275587.14764362585</v>
      </c>
      <c r="J23" s="84">
        <f t="shared" si="6"/>
        <v>311355.18281052809</v>
      </c>
      <c r="K23" s="84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6"/>
      <c r="H24" s="36"/>
      <c r="I24" s="36"/>
      <c r="J24" s="36"/>
      <c r="K24" s="36"/>
      <c r="L24" s="21"/>
      <c r="M24" s="21"/>
    </row>
    <row r="25" spans="2:13">
      <c r="B25" s="21"/>
      <c r="C25" s="21"/>
      <c r="D25" s="21"/>
      <c r="E25" s="21"/>
      <c r="F25" s="21"/>
      <c r="G25" s="36"/>
      <c r="H25" s="36"/>
      <c r="I25" s="36"/>
      <c r="J25" s="36"/>
      <c r="K25" s="36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16"/>
  <sheetViews>
    <sheetView tabSelected="1" workbookViewId="0">
      <selection activeCell="B3" sqref="B3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 ht="3.75" customHeight="1">
      <c r="B4" s="43"/>
      <c r="C4" s="43"/>
      <c r="D4" s="43"/>
      <c r="E4" s="43"/>
      <c r="F4" s="43"/>
      <c r="G4" s="65"/>
      <c r="H4" s="65"/>
      <c r="I4" s="65"/>
      <c r="J4" s="65"/>
      <c r="K4" s="65"/>
      <c r="L4" s="43"/>
      <c r="N4" s="43"/>
      <c r="O4" s="43"/>
    </row>
    <row r="5" spans="2:15">
      <c r="B5" s="43"/>
      <c r="C5" s="43"/>
      <c r="D5" s="44"/>
      <c r="E5" s="44"/>
      <c r="F5" s="43"/>
      <c r="G5" s="35"/>
      <c r="H5" s="35"/>
      <c r="I5" s="35"/>
      <c r="J5" s="35"/>
      <c r="K5" s="35"/>
      <c r="L5" s="43"/>
      <c r="N5" s="43"/>
      <c r="O5" s="43"/>
    </row>
    <row r="6" spans="2:15">
      <c r="B6" s="43"/>
      <c r="C6" s="43"/>
      <c r="D6" s="43"/>
      <c r="E6" s="43"/>
      <c r="F6" s="43"/>
      <c r="G6" s="35"/>
      <c r="H6" s="35"/>
      <c r="I6" s="35"/>
      <c r="J6" s="35"/>
      <c r="K6" s="35"/>
      <c r="L6" s="43"/>
      <c r="N6" s="43"/>
      <c r="O6" s="43"/>
    </row>
    <row r="7" spans="2:15">
      <c r="B7" s="43"/>
      <c r="C7" s="43"/>
      <c r="D7" s="44"/>
      <c r="E7" s="44"/>
      <c r="F7" s="43"/>
      <c r="G7" s="35"/>
      <c r="H7" s="35"/>
      <c r="I7" s="35"/>
      <c r="J7" s="35"/>
      <c r="K7" s="35"/>
      <c r="L7" s="43"/>
      <c r="N7" s="43"/>
      <c r="O7" s="43"/>
    </row>
    <row r="8" spans="2:15">
      <c r="B8" s="43"/>
      <c r="C8" s="43"/>
      <c r="D8" s="44"/>
      <c r="E8" s="44"/>
      <c r="F8" s="43"/>
      <c r="G8" s="35"/>
      <c r="H8" s="35"/>
      <c r="I8" s="35"/>
      <c r="J8" s="35"/>
      <c r="K8" s="35"/>
      <c r="L8" s="43"/>
      <c r="N8" s="43"/>
      <c r="O8" s="43"/>
    </row>
    <row r="9" spans="2:15" ht="3.75" customHeight="1">
      <c r="B9" s="43"/>
      <c r="C9" s="43"/>
      <c r="D9" s="43"/>
      <c r="E9" s="43"/>
      <c r="F9" s="43"/>
      <c r="G9" s="65"/>
      <c r="H9" s="65"/>
      <c r="I9" s="65"/>
      <c r="J9" s="65"/>
      <c r="K9" s="65"/>
      <c r="L9" s="43"/>
      <c r="N9" s="43"/>
      <c r="O9" s="43"/>
    </row>
    <row r="10" spans="2:15">
      <c r="B10" s="59"/>
      <c r="C10" s="59"/>
      <c r="D10" s="60"/>
      <c r="E10" s="60"/>
      <c r="F10" s="59"/>
      <c r="G10" s="66"/>
      <c r="H10" s="66"/>
      <c r="I10" s="66"/>
      <c r="J10" s="66"/>
      <c r="K10" s="66"/>
      <c r="L10" s="43"/>
      <c r="N10" s="43"/>
      <c r="O10" s="43"/>
    </row>
    <row r="11" spans="2:15"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</row>
    <row r="12" spans="2:15">
      <c r="B12" s="61"/>
      <c r="C12" s="61"/>
      <c r="D12" s="62"/>
      <c r="E12" s="62"/>
      <c r="F12" s="62"/>
      <c r="G12" s="62"/>
      <c r="H12" s="62"/>
      <c r="I12" s="62"/>
      <c r="J12" s="62"/>
      <c r="K12" s="62"/>
      <c r="L12" s="43"/>
    </row>
    <row r="13" spans="2:15">
      <c r="B13" s="61"/>
      <c r="C13" s="61"/>
      <c r="D13" s="62"/>
      <c r="E13" s="62"/>
      <c r="F13" s="62"/>
      <c r="G13" s="62"/>
      <c r="H13" s="62"/>
      <c r="I13" s="62"/>
      <c r="J13" s="62"/>
      <c r="K13" s="62"/>
      <c r="L13" s="43"/>
    </row>
    <row r="14" spans="2:15"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</row>
    <row r="15" spans="2:15" outlineLevel="1">
      <c r="B15" s="43"/>
      <c r="C15" s="43"/>
      <c r="D15" s="43"/>
      <c r="E15" s="43"/>
      <c r="F15" s="43"/>
      <c r="G15" s="44"/>
      <c r="H15" s="44"/>
      <c r="I15" s="44"/>
      <c r="J15" s="44"/>
      <c r="K15" s="44"/>
      <c r="L15" s="43"/>
    </row>
    <row r="16" spans="2:15" outlineLevel="1">
      <c r="D16" s="53"/>
      <c r="E16" s="53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6"/>
      <c r="E5" s="36"/>
      <c r="F5" s="21"/>
      <c r="G5" s="34"/>
      <c r="H5" s="34"/>
      <c r="I5" s="34"/>
      <c r="J5" s="34"/>
      <c r="K5" s="34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4"/>
      <c r="H6" s="34"/>
      <c r="I6" s="34"/>
      <c r="J6" s="34"/>
      <c r="K6" s="34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54"/>
      <c r="H7" s="54"/>
      <c r="I7" s="54"/>
      <c r="J7" s="54"/>
      <c r="K7" s="54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38"/>
      <c r="G8" s="35"/>
      <c r="H8" s="35"/>
      <c r="I8" s="35"/>
      <c r="J8" s="35"/>
      <c r="K8" s="35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1"/>
      <c r="H9" s="41"/>
      <c r="I9" s="41"/>
      <c r="J9" s="41"/>
      <c r="K9" s="41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1"/>
      <c r="H10" s="41"/>
      <c r="I10" s="41"/>
      <c r="J10" s="41"/>
      <c r="K10" s="41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67"/>
      <c r="C11" s="67"/>
      <c r="D11" s="67"/>
      <c r="E11" s="67"/>
      <c r="F11" s="67"/>
      <c r="G11" s="68"/>
      <c r="H11" s="68"/>
      <c r="I11" s="68"/>
      <c r="J11" s="68"/>
      <c r="K11" s="68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6"/>
      <c r="D12" s="21"/>
      <c r="E12" s="55"/>
      <c r="F12" s="56"/>
      <c r="G12" s="42"/>
      <c r="H12" s="41"/>
      <c r="I12" s="41"/>
      <c r="J12" s="41"/>
      <c r="K12" s="41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6"/>
      <c r="D13" s="21"/>
      <c r="E13" s="57"/>
      <c r="F13" s="56"/>
      <c r="G13" s="41"/>
      <c r="H13" s="41"/>
      <c r="I13" s="41"/>
      <c r="J13" s="41"/>
      <c r="K13" s="41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6"/>
      <c r="D14" s="21"/>
      <c r="E14" s="55"/>
      <c r="F14" s="56"/>
      <c r="G14" s="42"/>
      <c r="H14" s="41"/>
      <c r="I14" s="41"/>
      <c r="J14" s="41"/>
      <c r="K14" s="41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38"/>
      <c r="D15" s="24"/>
      <c r="E15" s="38"/>
      <c r="F15" s="24"/>
      <c r="G15" s="41"/>
      <c r="H15" s="41"/>
      <c r="I15" s="41"/>
      <c r="J15" s="41"/>
      <c r="K15" s="41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6"/>
      <c r="D16" s="21"/>
      <c r="E16" s="36"/>
      <c r="F16" s="21"/>
      <c r="G16" s="41"/>
      <c r="H16" s="41"/>
      <c r="I16" s="41"/>
      <c r="J16" s="41"/>
      <c r="K16" s="41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6"/>
      <c r="D17" s="21"/>
      <c r="E17" s="36"/>
      <c r="F17" s="21"/>
      <c r="G17" s="41"/>
      <c r="H17" s="41"/>
      <c r="I17" s="41"/>
      <c r="J17" s="41"/>
      <c r="K17" s="41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38"/>
      <c r="D18" s="24"/>
      <c r="E18" s="38"/>
      <c r="F18" s="24"/>
      <c r="G18" s="41"/>
      <c r="H18" s="41"/>
      <c r="I18" s="41"/>
      <c r="J18" s="41"/>
      <c r="K18" s="41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1"/>
      <c r="H19" s="41"/>
      <c r="I19" s="41"/>
      <c r="J19" s="41"/>
      <c r="K19" s="41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1"/>
      <c r="H20" s="41"/>
      <c r="I20" s="41"/>
      <c r="J20" s="41"/>
      <c r="K20" s="41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39"/>
      <c r="H22" s="58"/>
      <c r="I22" s="58"/>
      <c r="J22" s="58"/>
      <c r="K22" s="58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58"/>
      <c r="H23" s="36"/>
      <c r="I23" s="36"/>
      <c r="J23" s="36"/>
      <c r="K23" s="36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58"/>
      <c r="H24" s="36"/>
      <c r="I24" s="36"/>
      <c r="J24" s="36"/>
      <c r="K24" s="36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58"/>
      <c r="H25" s="36"/>
      <c r="I25" s="36"/>
      <c r="J25" s="36"/>
      <c r="K25" s="36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58"/>
      <c r="H26" s="36"/>
      <c r="I26" s="36"/>
      <c r="J26" s="36"/>
      <c r="K26" s="36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4"/>
      <c r="K5" s="64"/>
      <c r="L5" s="64"/>
      <c r="M5" s="64"/>
    </row>
    <row r="6" spans="2:13">
      <c r="B6" s="32" t="s">
        <v>9</v>
      </c>
      <c r="C6" s="32"/>
      <c r="D6" s="33">
        <f>D4+D5</f>
        <v>180723</v>
      </c>
      <c r="E6" s="33">
        <f>E4+E5</f>
        <v>191034</v>
      </c>
      <c r="F6" s="33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2" t="s">
        <v>14</v>
      </c>
      <c r="C14" s="32"/>
      <c r="D14" s="33">
        <f>D6+SUM(D8:D12)</f>
        <v>20317.317333333282</v>
      </c>
      <c r="E14" s="33">
        <f>E6+SUM(E8:E12)</f>
        <v>21213.936000000016</v>
      </c>
      <c r="F14" s="33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2" t="s">
        <v>16</v>
      </c>
      <c r="C18" s="32"/>
      <c r="D18" s="33">
        <f>D14+D16</f>
        <v>17409.517333333282</v>
      </c>
      <c r="E18" s="33">
        <f>E14+E16</f>
        <v>16564.136000000017</v>
      </c>
      <c r="F18" s="33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2" t="s">
        <v>19</v>
      </c>
      <c r="C23" s="32"/>
      <c r="D23" s="33">
        <f>D18+D21+D20</f>
        <v>15825.637333333281</v>
      </c>
      <c r="E23" s="33">
        <f>E18+E21+E20</f>
        <v>13508.936000000018</v>
      </c>
      <c r="F23" s="33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2016-06-20T15:16:00Z</dcterms:modified>
</cp:coreProperties>
</file>