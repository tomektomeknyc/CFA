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405" windowWidth="14805" windowHeight="7710" firstSheet="2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28" i="6" l="1"/>
  <c r="K27" i="6"/>
  <c r="K25" i="6"/>
  <c r="K21" i="6"/>
  <c r="K19" i="6"/>
  <c r="K18" i="6"/>
  <c r="K16" i="6"/>
  <c r="K14" i="6"/>
  <c r="K13" i="6"/>
  <c r="K12" i="6"/>
  <c r="K15" i="6" s="1"/>
  <c r="K9" i="6"/>
  <c r="K6" i="6"/>
  <c r="K4" i="6"/>
  <c r="K5" i="6" s="1"/>
  <c r="J28" i="6"/>
  <c r="J27" i="6"/>
  <c r="J25" i="6"/>
  <c r="J21" i="6"/>
  <c r="J19" i="6"/>
  <c r="J18" i="6"/>
  <c r="J16" i="6"/>
  <c r="J15" i="6"/>
  <c r="J14" i="6"/>
  <c r="J13" i="6"/>
  <c r="J12" i="6"/>
  <c r="J9" i="6"/>
  <c r="J6" i="6"/>
  <c r="J5" i="6"/>
  <c r="J26" i="6" s="1"/>
  <c r="J4" i="6"/>
  <c r="I28" i="6"/>
  <c r="I27" i="6"/>
  <c r="I25" i="6"/>
  <c r="I21" i="6"/>
  <c r="I19" i="6"/>
  <c r="I18" i="6"/>
  <c r="I16" i="6"/>
  <c r="I14" i="6"/>
  <c r="I13" i="6"/>
  <c r="I12" i="6"/>
  <c r="I15" i="6" s="1"/>
  <c r="I9" i="6"/>
  <c r="I6" i="6"/>
  <c r="I4" i="6"/>
  <c r="I5" i="6" s="1"/>
  <c r="H28" i="6"/>
  <c r="H27" i="6"/>
  <c r="H19" i="6"/>
  <c r="H18" i="6"/>
  <c r="H16" i="6"/>
  <c r="H14" i="6"/>
  <c r="H13" i="6"/>
  <c r="H12" i="6"/>
  <c r="H15" i="6" s="1"/>
  <c r="H25" i="6"/>
  <c r="H21" i="6"/>
  <c r="H9" i="6"/>
  <c r="H6" i="6"/>
  <c r="H4" i="6"/>
  <c r="H5" i="6" s="1"/>
  <c r="G28" i="6"/>
  <c r="G27" i="6"/>
  <c r="G19" i="6"/>
  <c r="G18" i="6"/>
  <c r="G16" i="6"/>
  <c r="G14" i="6"/>
  <c r="G13" i="6"/>
  <c r="G15" i="6" s="1"/>
  <c r="G12" i="6"/>
  <c r="G25" i="6"/>
  <c r="G21" i="6"/>
  <c r="G9" i="6"/>
  <c r="G6" i="6"/>
  <c r="G4" i="6"/>
  <c r="G5" i="6" s="1"/>
  <c r="E28" i="6"/>
  <c r="E27" i="6"/>
  <c r="E25" i="6"/>
  <c r="E21" i="6"/>
  <c r="E19" i="6"/>
  <c r="E18" i="6"/>
  <c r="E16" i="6"/>
  <c r="E14" i="6"/>
  <c r="E13" i="6"/>
  <c r="E12" i="6"/>
  <c r="E15" i="6" s="1"/>
  <c r="E9" i="6"/>
  <c r="E6" i="6"/>
  <c r="E4" i="6"/>
  <c r="E5" i="6" s="1"/>
  <c r="E35" i="6"/>
  <c r="G32" i="6"/>
  <c r="E32" i="6"/>
  <c r="K26" i="6" l="1"/>
  <c r="K7" i="6"/>
  <c r="K10" i="6" s="1"/>
  <c r="K23" i="6" s="1"/>
  <c r="K30" i="6" s="1"/>
  <c r="J7" i="6"/>
  <c r="J10" i="6" s="1"/>
  <c r="J23" i="6" s="1"/>
  <c r="J30" i="6" s="1"/>
  <c r="I7" i="6"/>
  <c r="I10" i="6" s="1"/>
  <c r="I23" i="6" s="1"/>
  <c r="I26" i="6"/>
  <c r="H26" i="6"/>
  <c r="H7" i="6"/>
  <c r="H10" i="6" s="1"/>
  <c r="H23" i="6" s="1"/>
  <c r="H30" i="6" s="1"/>
  <c r="G26" i="6"/>
  <c r="G7" i="6"/>
  <c r="G10" i="6" s="1"/>
  <c r="G23" i="6" s="1"/>
  <c r="E26" i="6"/>
  <c r="E7" i="6"/>
  <c r="E10" i="6" s="1"/>
  <c r="E23" i="6" s="1"/>
  <c r="E30" i="6" s="1"/>
  <c r="D36" i="6"/>
  <c r="D35" i="6"/>
  <c r="D33" i="6"/>
  <c r="D32" i="6"/>
  <c r="D30" i="6"/>
  <c r="D28" i="6"/>
  <c r="D27" i="6"/>
  <c r="D26" i="6"/>
  <c r="D25" i="6"/>
  <c r="I30" i="6" l="1"/>
  <c r="G30" i="6"/>
  <c r="G12" i="7" s="1"/>
  <c r="H12" i="7" s="1"/>
  <c r="I12" i="7" s="1"/>
  <c r="J12" i="7" s="1"/>
  <c r="K12" i="7" s="1"/>
  <c r="G33" i="6"/>
  <c r="E33" i="6"/>
  <c r="E36" i="6" s="1"/>
  <c r="D23" i="6"/>
  <c r="D21" i="6"/>
  <c r="D19" i="6"/>
  <c r="D18" i="6"/>
  <c r="D16" i="6"/>
  <c r="D15" i="6"/>
  <c r="D14" i="6"/>
  <c r="D13" i="6"/>
  <c r="D12" i="6"/>
  <c r="D10" i="6"/>
  <c r="D9" i="6"/>
  <c r="D7" i="6"/>
  <c r="D5" i="6"/>
  <c r="D6" i="6"/>
  <c r="D4" i="6"/>
  <c r="H21" i="7" l="1"/>
  <c r="I21" i="7" s="1"/>
  <c r="J21" i="7" s="1"/>
  <c r="K21" i="7" s="1"/>
  <c r="H23" i="7"/>
  <c r="G21" i="7"/>
  <c r="K19" i="7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6" i="7"/>
  <c r="D26" i="7"/>
  <c r="C26" i="7"/>
  <c r="E21" i="7"/>
  <c r="D21" i="7"/>
  <c r="E19" i="7"/>
  <c r="D19" i="7"/>
  <c r="E12" i="7"/>
  <c r="D12" i="7"/>
  <c r="E6" i="7"/>
  <c r="D6" i="7"/>
  <c r="E4" i="7"/>
  <c r="D4" i="7"/>
  <c r="C21" i="7"/>
  <c r="C19" i="7"/>
  <c r="C12" i="7"/>
  <c r="C6" i="7"/>
  <c r="C4" i="7"/>
  <c r="G35" i="6" l="1"/>
  <c r="G36" i="6" s="1"/>
  <c r="H32" i="6"/>
  <c r="H33" i="6" s="1"/>
  <c r="K17" i="7"/>
  <c r="J17" i="7"/>
  <c r="I17" i="7"/>
  <c r="H17" i="7"/>
  <c r="G17" i="7"/>
  <c r="K16" i="7"/>
  <c r="J16" i="7"/>
  <c r="J23" i="7" s="1"/>
  <c r="I16" i="7"/>
  <c r="H16" i="7"/>
  <c r="G16" i="7"/>
  <c r="G23" i="7" s="1"/>
  <c r="E17" i="7"/>
  <c r="D17" i="7"/>
  <c r="C17" i="7"/>
  <c r="E16" i="7"/>
  <c r="D16" i="7"/>
  <c r="C16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E10" i="7"/>
  <c r="D10" i="7"/>
  <c r="C10" i="7"/>
  <c r="E9" i="7"/>
  <c r="D9" i="7"/>
  <c r="C9" i="7"/>
  <c r="E8" i="7"/>
  <c r="D8" i="7"/>
  <c r="C8" i="7"/>
  <c r="K5" i="7"/>
  <c r="J5" i="7"/>
  <c r="I5" i="7"/>
  <c r="H5" i="7"/>
  <c r="G5" i="7"/>
  <c r="G14" i="7" s="1"/>
  <c r="G26" i="7" s="1"/>
  <c r="E5" i="7"/>
  <c r="E14" i="7" s="1"/>
  <c r="D5" i="7"/>
  <c r="C5" i="7"/>
  <c r="E23" i="7"/>
  <c r="D23" i="7"/>
  <c r="C23" i="7"/>
  <c r="K23" i="7"/>
  <c r="I23" i="7"/>
  <c r="D14" i="7"/>
  <c r="C14" i="7" l="1"/>
  <c r="H35" i="6" l="1"/>
  <c r="H36" i="6" s="1"/>
  <c r="I32" i="6"/>
  <c r="I33" i="6" s="1"/>
  <c r="H14" i="7"/>
  <c r="H26" i="7" s="1"/>
  <c r="K21" i="5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J32" i="6" l="1"/>
  <c r="J33" i="6" s="1"/>
  <c r="I35" i="6"/>
  <c r="I36" i="6" s="1"/>
  <c r="I14" i="7"/>
  <c r="I26" i="7" s="1"/>
  <c r="K6" i="5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32" i="6" l="1"/>
  <c r="K33" i="6" s="1"/>
  <c r="J35" i="6"/>
  <c r="J36" i="6" s="1"/>
  <c r="J14" i="7"/>
  <c r="J26" i="7" s="1"/>
  <c r="K20" i="9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K35" i="6" l="1"/>
  <c r="K36" i="6" s="1"/>
  <c r="K14" i="7"/>
  <c r="K26" i="7" s="1"/>
  <c r="E46" i="8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<sst xmlns="http://schemas.openxmlformats.org/spreadsheetml/2006/main" count="286" uniqueCount="144">
  <si>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</si>
  <si>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</si>
  <si>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</si>
  <si>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</si>
  <si>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</si>
  <si>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</si>
  <si>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</si>
  <si>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</si>
  <si>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</si>
  <si>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</si>
  <si>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</si>
  <si>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</si>
  <si>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</si>
  <si>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</si>
  <si>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</si>
  <si>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</si>
  <si>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</si>
  <si>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</si>
  <si>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</si>
  <si>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</si>
  <si>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</si>
  <si>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</si>
  <si>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</si>
  <si>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</si>
  <si>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</si>
  <si>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</si>
  <si>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</si>
  <si>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</si>
  <si>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</si>
  <si>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</si>
  <si>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</si>
  <si>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</si>
  <si>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</si>
  <si>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</si>
  <si>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</si>
  <si>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</si>
  <si>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</si>
  <si>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</si>
  <si>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</si>
  <si>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</si>
  <si>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</si>
  <si>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</si>
  <si>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</si>
  <si>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</si>
  <si>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</si>
  <si>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</si>
  <si>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</si>
  <si>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</si>
  <si>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</si>
  <si>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</si>
  <si>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</si>
  <si>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</si>
  <si>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</si>
  <si>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</si>
  <si>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</si>
  <si>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</si>
  <si>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</si>
  <si>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</si>
  <si>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</si>
  <si>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</si>
  <si>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</si>
  <si>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</si>
  <si>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</si>
  <si>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</si>
  <si>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</si>
  <si>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</si>
  <si>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</si>
  <si>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</si>
  <si>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</si>
  <si>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</si>
  <si>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</si>
  <si>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</si>
  <si>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</si>
  <si>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</si>
  <si>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</si>
  <si>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</si>
  <si>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</si>
  <si>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</si>
  <si>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</si>
  <si>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</si>
  <si>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</si>
  <si>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</si>
  <si>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</si>
  <si>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</si>
  <si>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</si>
  <si>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</si>
  <si>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</si>
  <si>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</si>
  <si>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</si>
  <si>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</si>
  <si>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</si>
  <si>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</si>
  <si>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</si>
  <si>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</si>
  <si>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</si>
  <si>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</si>
  <si>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</si>
  <si>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</si>
  <si>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</si>
  <si>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</si>
  <si>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</si>
  <si>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</si>
  <si>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</si>
  <si>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</si>
  <si>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</si>
  <si>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</si>
  <si>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</si>
  <si>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</si>
  <si>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</si>
  <si>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</si>
  <si>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</si>
  <si>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</si>
  <si>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</si>
  <si>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</si>
  <si>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</si>
  <si>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</si>
  <si>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</si>
  <si>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</si>
  <si>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</si>
  <si>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</si>
  <si>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</si>
  <si>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</si>
  <si>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</si>
  <si>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</si>
  <si>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</si>
  <si>
    <t>Delta Financial liabilities</t>
  </si>
  <si>
    <t>Delta equity incl. dividends</t>
  </si>
  <si>
    <t>Net Cash Flow</t>
  </si>
  <si>
    <t>Delta Taxes vs. Operating taxes</t>
  </si>
  <si>
    <t>1)</t>
  </si>
  <si>
    <t>2)</t>
  </si>
  <si>
    <t>3)</t>
  </si>
  <si>
    <t>4)</t>
  </si>
  <si>
    <t>5)</t>
  </si>
  <si>
    <t>6)</t>
  </si>
  <si>
    <t>1)+2)+3)+4)+5)+6)</t>
  </si>
  <si>
    <t>Opening cash</t>
  </si>
  <si>
    <t>Closing cash</t>
  </si>
  <si>
    <t>7)</t>
  </si>
  <si>
    <t>8)</t>
  </si>
  <si>
    <t>9)</t>
  </si>
  <si>
    <t>10)</t>
  </si>
  <si>
    <t>1)+2)+3)+4)+5)+6)+7)+8)+9)+10)</t>
  </si>
  <si>
    <t>BS,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</si>
</sst>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  <xf numFmtId="166" fontId="12" fillId="2" borderId="19" xfId="0" applyNumberFormat="1" applyFont="1" applyFill="1" applyBorder="1"/>
    <xf numFmtId="166" fontId="6" fillId="3" borderId="19" xfId="0" applyNumberFormat="1" applyFont="1" applyFill="1" applyBorder="1"/>
    <xf numFmtId="165" fontId="9" fillId="48" borderId="0" xfId="0" applyNumberFormat="1" applyFont="1" applyFill="1" applyBorder="1"/>
    <xf numFmtId="165" fontId="9" fillId="48" borderId="0" xfId="0" applyNumberFormat="1" applyFont="1" applyFill="1"/>
    <xf numFmtId="180" fontId="9" fillId="48" borderId="0" xfId="3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6" t="s">
        <v>26</v>
      </c>
    </row>
    <row r="7" spans="2:3">
      <c r="B7" s="29">
        <f t="shared" ref="B7:B21" si="0">B6+1</f>
        <v>3</v>
      </c>
      <c r="C7" s="66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6" t="s">
        <v>6</v>
      </c>
    </row>
    <row r="10" spans="2:3">
      <c r="B10" s="29">
        <f t="shared" si="0"/>
        <v>6</v>
      </c>
      <c r="C10" s="66" t="s">
        <v>25</v>
      </c>
    </row>
    <row r="11" spans="2:3">
      <c r="B11" s="29">
        <f t="shared" si="0"/>
        <v>7</v>
      </c>
      <c r="C11" s="66" t="s">
        <v>28</v>
      </c>
    </row>
    <row r="12" spans="2:3">
      <c r="B12" s="29">
        <f t="shared" si="0"/>
        <v>8</v>
      </c>
      <c r="C12" s="66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6" t="s">
        <v>72</v>
      </c>
    </row>
    <row r="15" spans="2:3">
      <c r="B15" s="29">
        <f t="shared" si="0"/>
        <v>11</v>
      </c>
      <c r="C15" s="66" t="s">
        <v>69</v>
      </c>
    </row>
    <row r="16" spans="2:3">
      <c r="B16" s="29">
        <f t="shared" si="0"/>
        <v>12</v>
      </c>
      <c r="C16" s="66" t="s">
        <v>73</v>
      </c>
    </row>
    <row r="17" spans="2:3">
      <c r="B17" s="29">
        <f t="shared" si="0"/>
        <v>13</v>
      </c>
      <c r="C17" s="66" t="s">
        <v>74</v>
      </c>
    </row>
    <row r="18" spans="2:3">
      <c r="B18" s="29">
        <f t="shared" si="0"/>
        <v>14</v>
      </c>
      <c r="C18" s="66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6" t="s">
        <v>1</v>
      </c>
    </row>
    <row r="21" spans="2:3">
      <c r="B21" s="29">
        <f t="shared" si="0"/>
        <v>17</v>
      </c>
      <c r="C21" s="66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1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2"/>
      <c r="D11" s="72"/>
      <c r="E11" s="72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2"/>
      <c r="D12" s="72"/>
      <c r="E12" s="72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2"/>
      <c r="D13" s="72"/>
      <c r="E13" s="72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2"/>
      <c r="D17" s="72"/>
      <c r="E17" s="72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2"/>
      <c r="D18" s="72"/>
      <c r="E18" s="72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2"/>
      <c r="D19" s="72"/>
      <c r="E19" s="72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2"/>
      <c r="D23" s="72"/>
      <c r="E23" s="72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2"/>
      <c r="D24" s="72"/>
      <c r="E24" s="72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2"/>
      <c r="D25" s="72"/>
      <c r="E25" s="72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2"/>
      <c r="D29" s="72"/>
      <c r="E29" s="72"/>
      <c r="G29" s="73">
        <v>-0.1</v>
      </c>
      <c r="H29" s="73">
        <v>-0.1</v>
      </c>
      <c r="I29" s="73">
        <v>-0.1</v>
      </c>
      <c r="J29" s="73">
        <v>-0.1</v>
      </c>
      <c r="K29" s="73">
        <v>-0.1</v>
      </c>
    </row>
    <row r="30" spans="2:11" ht="12" customHeight="1">
      <c r="B30" s="7" t="s">
        <v>89</v>
      </c>
      <c r="C30" s="72"/>
      <c r="D30" s="72"/>
      <c r="E30" s="72"/>
      <c r="G30" s="73">
        <v>-0.105</v>
      </c>
      <c r="H30" s="73">
        <v>-0.105</v>
      </c>
      <c r="I30" s="73">
        <v>-0.105</v>
      </c>
      <c r="J30" s="73">
        <v>-0.105</v>
      </c>
      <c r="K30" s="73">
        <v>-0.105</v>
      </c>
    </row>
    <row r="31" spans="2:11" ht="12" customHeight="1">
      <c r="B31" s="7" t="s">
        <v>90</v>
      </c>
      <c r="C31" s="72"/>
      <c r="D31" s="72"/>
      <c r="E31" s="72"/>
      <c r="G31" s="73">
        <v>-0.11</v>
      </c>
      <c r="H31" s="73">
        <v>-0.11</v>
      </c>
      <c r="I31" s="73">
        <v>-0.11</v>
      </c>
      <c r="J31" s="73">
        <v>-0.11</v>
      </c>
      <c r="K31" s="73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2"/>
      <c r="D35" s="72"/>
      <c r="E35" s="72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2"/>
      <c r="D36" s="72"/>
      <c r="E36" s="72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2"/>
      <c r="D37" s="72"/>
      <c r="E37" s="72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2"/>
      <c r="D41" s="72"/>
      <c r="E41" s="72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2"/>
      <c r="D42" s="72"/>
      <c r="E42" s="72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2"/>
      <c r="D43" s="72"/>
      <c r="E43" s="72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2"/>
      <c r="D47" s="72"/>
      <c r="E47" s="72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2"/>
      <c r="D48" s="72"/>
      <c r="E48" s="72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2"/>
      <c r="D49" s="72"/>
      <c r="E49" s="72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2"/>
      <c r="D53" s="72"/>
      <c r="E53" s="72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2"/>
      <c r="D54" s="72"/>
      <c r="E54" s="72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2"/>
      <c r="D55" s="72"/>
      <c r="E55" s="72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4">
        <f>AVERAGE($C15:$E15)</f>
        <v>0.26133219592352436</v>
      </c>
      <c r="H15" s="74">
        <f t="shared" ref="H15:K15" si="3">AVERAGE($C15:$E15)</f>
        <v>0.26133219592352436</v>
      </c>
      <c r="I15" s="74">
        <f t="shared" si="3"/>
        <v>0.26133219592352436</v>
      </c>
      <c r="J15" s="74">
        <f t="shared" si="3"/>
        <v>0.26133219592352436</v>
      </c>
      <c r="K15" s="74">
        <f t="shared" si="3"/>
        <v>0.26133219592352436</v>
      </c>
    </row>
    <row r="16" spans="2:11">
      <c r="C16" s="13"/>
      <c r="D16" s="13"/>
      <c r="E16" s="13"/>
      <c r="G16" s="75"/>
      <c r="H16" s="75"/>
      <c r="I16" s="75"/>
      <c r="J16" s="75"/>
      <c r="K16" s="75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4">
        <f>AVERAGE($C18:$E18)</f>
        <v>6.4866273263650964E-2</v>
      </c>
      <c r="H18" s="74">
        <f t="shared" ref="H18:K18" si="4">AVERAGE($C18:$E18)</f>
        <v>6.4866273263650964E-2</v>
      </c>
      <c r="I18" s="74">
        <f t="shared" si="4"/>
        <v>6.4866273263650964E-2</v>
      </c>
      <c r="J18" s="74">
        <f t="shared" si="4"/>
        <v>6.4866273263650964E-2</v>
      </c>
      <c r="K18" s="74">
        <f t="shared" si="4"/>
        <v>6.4866273263650964E-2</v>
      </c>
    </row>
    <row r="19" spans="2:11">
      <c r="C19" s="13"/>
      <c r="D19" s="13"/>
      <c r="E19" s="13"/>
      <c r="G19" s="75"/>
      <c r="H19" s="75"/>
      <c r="I19" s="75"/>
      <c r="J19" s="75"/>
      <c r="K19" s="75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4">
        <f>AVERAGE($C21:$E21)</f>
        <v>3.5034261583131034E-2</v>
      </c>
      <c r="H21" s="74">
        <f t="shared" ref="H21:K21" si="5">AVERAGE($C21:$E21)</f>
        <v>3.5034261583131034E-2</v>
      </c>
      <c r="I21" s="74">
        <f t="shared" si="5"/>
        <v>3.5034261583131034E-2</v>
      </c>
      <c r="J21" s="74">
        <f t="shared" si="5"/>
        <v>3.5034261583131034E-2</v>
      </c>
      <c r="K21" s="74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8" t="s">
        <v>101</v>
      </c>
      <c r="C6" s="79">
        <f>+C4+C5</f>
        <v>180723</v>
      </c>
      <c r="D6" s="79">
        <f>+D4+D5</f>
        <v>191034</v>
      </c>
      <c r="E6" s="79">
        <f>+E4+E5</f>
        <v>210951</v>
      </c>
      <c r="F6" s="80"/>
      <c r="G6" s="81">
        <f t="shared" ref="G6:K6" si="0">+G4+G5</f>
        <v>231787.6</v>
      </c>
      <c r="H6" s="81">
        <f t="shared" si="0"/>
        <v>254707.86000000002</v>
      </c>
      <c r="I6" s="81">
        <f t="shared" si="0"/>
        <v>279920.14600000007</v>
      </c>
      <c r="J6" s="81">
        <f t="shared" si="0"/>
        <v>307653.66060000012</v>
      </c>
      <c r="K6" s="81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8" t="s">
        <v>102</v>
      </c>
      <c r="C9" s="79">
        <f>+C6+C8</f>
        <v>38328.632533333293</v>
      </c>
      <c r="D9" s="79">
        <f>+D6+D8</f>
        <v>40461.833600000013</v>
      </c>
      <c r="E9" s="79">
        <f>+E6+E8</f>
        <v>53427.881574603001</v>
      </c>
      <c r="F9" s="80"/>
      <c r="G9" s="81">
        <f t="shared" ref="G9:K9" si="1">+G6+G8</f>
        <v>57593.624000000011</v>
      </c>
      <c r="H9" s="81">
        <f t="shared" si="1"/>
        <v>63094.486399999994</v>
      </c>
      <c r="I9" s="81">
        <f t="shared" si="1"/>
        <v>69145.435040000011</v>
      </c>
      <c r="J9" s="81">
        <f t="shared" si="1"/>
        <v>75801.478544000012</v>
      </c>
      <c r="K9" s="81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8" t="s">
        <v>14</v>
      </c>
      <c r="C12" s="79">
        <f>+C9+C11</f>
        <v>20317.317333333289</v>
      </c>
      <c r="D12" s="79">
        <f>+D9+D11</f>
        <v>21213.936000000016</v>
      </c>
      <c r="E12" s="79">
        <f>+E9+E11</f>
        <v>29560.873574602992</v>
      </c>
      <c r="F12" s="80"/>
      <c r="G12" s="81">
        <f t="shared" ref="G12:K12" si="2">+G9+G11</f>
        <v>34673.364000000009</v>
      </c>
      <c r="H12" s="81">
        <f t="shared" si="2"/>
        <v>37882.200399999987</v>
      </c>
      <c r="I12" s="81">
        <f t="shared" si="2"/>
        <v>41411.920440000002</v>
      </c>
      <c r="J12" s="81">
        <f t="shared" si="2"/>
        <v>45294.612483999997</v>
      </c>
      <c r="K12" s="81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8" t="s">
        <v>16</v>
      </c>
      <c r="C15" s="79">
        <f>+C12+C14</f>
        <v>17409.51733333329</v>
      </c>
      <c r="D15" s="79">
        <f>+D12+D14</f>
        <v>16564.136000000017</v>
      </c>
      <c r="E15" s="79">
        <f>+E12+E14</f>
        <v>23130.213574602993</v>
      </c>
      <c r="F15" s="80"/>
      <c r="G15" s="81">
        <f t="shared" ref="G15:K15" si="3">+G12+G14</f>
        <v>30089.312000000009</v>
      </c>
      <c r="H15" s="81">
        <f t="shared" si="3"/>
        <v>32839.743199999983</v>
      </c>
      <c r="I15" s="81">
        <f t="shared" si="3"/>
        <v>35865.217519999998</v>
      </c>
      <c r="J15" s="81">
        <f t="shared" si="3"/>
        <v>39193.239271999992</v>
      </c>
      <c r="K15" s="81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8" t="s">
        <v>19</v>
      </c>
      <c r="C19" s="79">
        <f>+C15+C17+C18</f>
        <v>15825.63733333329</v>
      </c>
      <c r="D19" s="79">
        <f>+D15+D17+D18</f>
        <v>13508.936000000018</v>
      </c>
      <c r="E19" s="79">
        <f>+E15+E17+E18</f>
        <v>20146.033574602992</v>
      </c>
      <c r="F19" s="80"/>
      <c r="G19" s="81">
        <f t="shared" ref="G19:K19" si="4">+G15+G17+G18</f>
        <v>27425.392000000007</v>
      </c>
      <c r="H19" s="81">
        <f t="shared" si="4"/>
        <v>30175.823199999984</v>
      </c>
      <c r="I19" s="81">
        <f t="shared" si="4"/>
        <v>33201.29752</v>
      </c>
      <c r="J19" s="81">
        <f t="shared" si="4"/>
        <v>36529.319271999993</v>
      </c>
      <c r="K19" s="81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2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6" t="s">
        <v>24</v>
      </c>
      <c r="C24" s="77">
        <f>+C19+C21</f>
        <v>12019.861333333291</v>
      </c>
      <c r="D24" s="77">
        <f>+D19+D21</f>
        <v>10458.744000000017</v>
      </c>
      <c r="E24" s="77">
        <f>+E19+E21</f>
        <v>16331.153574602991</v>
      </c>
      <c r="F24" s="77"/>
      <c r="G24" s="77">
        <f t="shared" ref="G24:K24" si="7">+G19+G21</f>
        <v>22488.821440000007</v>
      </c>
      <c r="H24" s="77">
        <f t="shared" si="7"/>
        <v>24744.175023999989</v>
      </c>
      <c r="I24" s="77">
        <f t="shared" si="7"/>
        <v>27225.063966400001</v>
      </c>
      <c r="J24" s="77">
        <f t="shared" si="7"/>
        <v>29954.041803039996</v>
      </c>
      <c r="K24" s="77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23746.539181652879</v>
      </c>
      <c r="H12" s="36">
        <f>G12+'Cash Flow'!H30</f>
        <v>35914.870622357827</v>
      </c>
      <c r="I12" s="36">
        <f>H12+'Cash Flow'!I30</f>
        <v>49306.50664713329</v>
      </c>
      <c r="J12" s="36">
        <f>I12+'Cash Flow'!J30</f>
        <v>64043.777714386284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3" t="s">
        <v>37</v>
      </c>
      <c r="C14" s="84">
        <f>SUM(C4:C12)</f>
        <v>144575.6</v>
      </c>
      <c r="D14" s="84">
        <f t="shared" ref="D14:E14" si="2">SUM(D4:D12)</f>
        <v>170464.2</v>
      </c>
      <c r="E14" s="84">
        <f t="shared" si="2"/>
        <v>187652.19999999998</v>
      </c>
      <c r="F14" s="85"/>
      <c r="G14" s="86">
        <f t="shared" ref="G14:K14" si="3">SUM(G4:G12)</f>
        <v>213527.50694734912</v>
      </c>
      <c r="H14" s="86">
        <f t="shared" si="3"/>
        <v>243076.6351646237</v>
      </c>
      <c r="I14" s="86">
        <f t="shared" si="3"/>
        <v>275587.14764362579</v>
      </c>
      <c r="J14" s="86">
        <f t="shared" si="3"/>
        <v>311355.18281052803</v>
      </c>
      <c r="K14" s="86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3" t="s">
        <v>109</v>
      </c>
      <c r="C23" s="84">
        <f>+SUM(C16:C21)</f>
        <v>144575.59999999998</v>
      </c>
      <c r="D23" s="84">
        <f t="shared" ref="D23:E23" si="5">+SUM(D16:D21)</f>
        <v>170464.2</v>
      </c>
      <c r="E23" s="84">
        <f t="shared" si="5"/>
        <v>187652.2</v>
      </c>
      <c r="F23" s="85"/>
      <c r="G23" s="86">
        <f t="shared" ref="G23:K23" si="6">+SUM(G16:G21)</f>
        <v>213527.50694734915</v>
      </c>
      <c r="H23" s="86">
        <f t="shared" si="6"/>
        <v>243076.63516462376</v>
      </c>
      <c r="I23" s="86">
        <f t="shared" si="6"/>
        <v>275587.14764362585</v>
      </c>
      <c r="J23" s="86">
        <f t="shared" si="6"/>
        <v>311355.18281052809</v>
      </c>
      <c r="K23" s="86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 t="shared" ref="G26:K26" si="7">G14-G23</f>
        <v>0</v>
      </c>
      <c r="H26" s="13">
        <f t="shared" si="7"/>
        <v>0</v>
      </c>
      <c r="I26" s="13">
        <f t="shared" si="7"/>
        <v>0</v>
      </c>
      <c r="J26" s="13">
        <f t="shared" si="7"/>
        <v>0</v>
      </c>
      <c r="K26" s="13">
        <f t="shared" si="7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tabSelected="1" workbookViewId="0">
      <selection activeCell="N16" sqref="N16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D5" s="51">
        <f>+D4*D6</f>
        <v>-3740.0277204742097</v>
      </c>
      <c r="E5" s="32">
        <f>+E4*E6</f>
        <v>-4379.9683364332095</v>
      </c>
      <c r="F5" s="32"/>
      <c r="G5" s="33">
        <f>+G4*G6</f>
        <v>-5416.0761600000014</v>
      </c>
      <c r="H5" s="33">
        <f>+H4*H6</f>
        <v>-5911.1537759999965</v>
      </c>
      <c r="I5" s="33">
        <f>+I4*I6</f>
        <v>-6455.7391535999996</v>
      </c>
      <c r="J5" s="33">
        <f>+J4*J6</f>
        <v>-7054.7830689599987</v>
      </c>
      <c r="K5" s="33">
        <f>+K4*K6</f>
        <v>-7713.7313758560003</v>
      </c>
    </row>
    <row r="6" spans="2:15">
      <c r="B6" s="45" t="s">
        <v>115</v>
      </c>
      <c r="C6" s="45" t="s">
        <v>6</v>
      </c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8" t="s">
        <v>116</v>
      </c>
      <c r="C7" s="78"/>
      <c r="D7" s="79">
        <f>SUM(D4:D5)</f>
        <v>12824.108279525808</v>
      </c>
      <c r="E7" s="79">
        <f>SUM(E4:E5)</f>
        <v>18750.245238169784</v>
      </c>
      <c r="F7" s="87"/>
      <c r="G7" s="88">
        <f>SUM(G4:G5)</f>
        <v>24673.235840000008</v>
      </c>
      <c r="H7" s="88">
        <f>SUM(H4:H5)</f>
        <v>26928.589423999987</v>
      </c>
      <c r="I7" s="88">
        <f>SUM(I4:I5)</f>
        <v>29409.478366399999</v>
      </c>
      <c r="J7" s="88">
        <f>SUM(J4:J5)</f>
        <v>32138.456203039994</v>
      </c>
      <c r="K7" s="88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8" t="s">
        <v>117</v>
      </c>
      <c r="C10" s="78"/>
      <c r="D10" s="79">
        <f>+D7+D9</f>
        <v>17473.908279525807</v>
      </c>
      <c r="E10" s="79">
        <f>+E7+E9</f>
        <v>25180.905238169784</v>
      </c>
      <c r="F10" s="87"/>
      <c r="G10" s="88">
        <f>+G7+G9</f>
        <v>29257.287840000008</v>
      </c>
      <c r="H10" s="88">
        <f>+H7+H9</f>
        <v>31971.046623999988</v>
      </c>
      <c r="I10" s="88">
        <f>+I7+I9</f>
        <v>34956.181286400002</v>
      </c>
      <c r="J10" s="88">
        <f>+J7+J9</f>
        <v>38239.829415039996</v>
      </c>
      <c r="K10" s="88">
        <f>+K7+K9</f>
        <v>41851.84235654401</v>
      </c>
      <c r="L10" s="45"/>
      <c r="M10" s="11" t="s">
        <v>129</v>
      </c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119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8" t="s">
        <v>120</v>
      </c>
      <c r="C15" s="78"/>
      <c r="D15" s="79">
        <f>SUM(D12:D14)</f>
        <v>-441.60000000000582</v>
      </c>
      <c r="E15" s="79">
        <f>SUM(E12:E14)</f>
        <v>-5002.7999999999956</v>
      </c>
      <c r="F15" s="87"/>
      <c r="G15" s="88">
        <f>SUM(G12:G14)</f>
        <v>-5418.8424231633617</v>
      </c>
      <c r="H15" s="88">
        <f>SUM(H12:H14)</f>
        <v>-5902.2842423163602</v>
      </c>
      <c r="I15" s="88">
        <f>SUM(I12:I14)</f>
        <v>-6492.5126665479838</v>
      </c>
      <c r="J15" s="88">
        <f>SUM(J12:J14)</f>
        <v>-7141.7639332027829</v>
      </c>
      <c r="K15" s="88">
        <f>SUM(K12:K14)</f>
        <v>-7855.9403265230358</v>
      </c>
      <c r="L15" s="45"/>
      <c r="M15" s="11" t="s">
        <v>130</v>
      </c>
      <c r="N15" s="45"/>
      <c r="O15" s="45"/>
    </row>
    <row r="16" spans="2:15">
      <c r="B16" s="47" t="s">
        <v>121</v>
      </c>
      <c r="C16" s="58" t="s">
        <v>25</v>
      </c>
      <c r="D16" s="48">
        <f>-(BS!D10-BS!C10)+BS!D17-BS!C17</f>
        <v>-2686.2826666666824</v>
      </c>
      <c r="E16" s="48">
        <f>-(BS!E10-BS!D10)+BS!E17-BS!D17</f>
        <v>-3570.5095746029638</v>
      </c>
      <c r="F16" s="49"/>
      <c r="G16" s="37">
        <f>-(BS!G10-BS!E10)+BS!G17-BS!E17</f>
        <v>2291.7789341974185</v>
      </c>
      <c r="H16" s="37">
        <f>-(BS!H10-BS!G10)+BS!H17-BS!G17</f>
        <v>-683.75746404055371</v>
      </c>
      <c r="I16" s="37">
        <f>-(BS!I10-BS!H10)+BS!I17-BS!H17</f>
        <v>-752.13321044460827</v>
      </c>
      <c r="J16" s="37">
        <f>-(BS!J10-BS!I10)+BS!J17-BS!I17</f>
        <v>-827.34653148907455</v>
      </c>
      <c r="K16" s="37">
        <f>-(BS!K10-BS!J10)+BS!K17-BS!J17</f>
        <v>-910.08118463797837</v>
      </c>
      <c r="L16" s="45"/>
      <c r="M16" s="11" t="s">
        <v>131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8" t="s">
        <v>143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132</v>
      </c>
      <c r="N18" s="45"/>
      <c r="O18" s="45"/>
    </row>
    <row r="19" spans="2:15">
      <c r="B19" s="47" t="s">
        <v>123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133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134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8"/>
      <c r="H22" s="68"/>
      <c r="I22" s="68"/>
      <c r="J22" s="68"/>
      <c r="K22" s="68"/>
      <c r="L22" s="45"/>
      <c r="N22" s="45"/>
      <c r="O22" s="45"/>
    </row>
    <row r="23" spans="2:15">
      <c r="B23" s="76" t="s">
        <v>124</v>
      </c>
      <c r="C23" s="76"/>
      <c r="D23" s="77">
        <f>D10+D15+D16+D18+D19+D21</f>
        <v>3980.52561285912</v>
      </c>
      <c r="E23" s="77">
        <f>E10+E15+E16+E18+E19+E21</f>
        <v>2517.8756635668306</v>
      </c>
      <c r="F23" s="76"/>
      <c r="G23" s="77">
        <f>G10+G15+G16+G18+G19+G21</f>
        <v>17757.353581652878</v>
      </c>
      <c r="H23" s="77">
        <f>H10+H15+H16+H18+H19+H21</f>
        <v>14352.745840704949</v>
      </c>
      <c r="I23" s="77">
        <f>I10+I15+I16+I18+I19+I21</f>
        <v>15576.050424775463</v>
      </c>
      <c r="J23" s="77">
        <f>J10+J15+J16+J18+J19+J21</f>
        <v>16921.685467252995</v>
      </c>
      <c r="K23" s="77">
        <f>K10+K15+K16+K18+K19+K21</f>
        <v>18401.884013978357</v>
      </c>
      <c r="L23" s="45"/>
      <c r="M23" s="11" t="s">
        <v>135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8"/>
      <c r="H24" s="68"/>
      <c r="I24" s="68"/>
      <c r="J24" s="68"/>
      <c r="K24" s="68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138</v>
      </c>
      <c r="N25" s="45"/>
      <c r="O25" s="45"/>
    </row>
    <row r="26" spans="2:15">
      <c r="B26" s="45" t="s">
        <v>128</v>
      </c>
      <c r="C26" s="45"/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139</v>
      </c>
      <c r="N26" s="45"/>
      <c r="O26" s="45"/>
    </row>
    <row r="27" spans="2:15">
      <c r="B27" s="45" t="s">
        <v>125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140</v>
      </c>
      <c r="N27" s="45"/>
      <c r="O27" s="45"/>
    </row>
    <row r="28" spans="2:15">
      <c r="B28" s="45" t="s">
        <v>126</v>
      </c>
      <c r="C28" s="45" t="s">
        <v>25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141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68"/>
      <c r="H29" s="68"/>
      <c r="I29" s="68"/>
      <c r="J29" s="68"/>
      <c r="K29" s="68"/>
      <c r="L29" s="45"/>
      <c r="N29" s="45"/>
      <c r="O29" s="45"/>
    </row>
    <row r="30" spans="2:15">
      <c r="B30" s="76" t="s">
        <v>127</v>
      </c>
      <c r="C30" s="76"/>
      <c r="D30" s="77">
        <f>SUM(D23,D25:D28)</f>
        <v>7617.6000000000568</v>
      </c>
      <c r="E30" s="77">
        <f>SUM(E23,E25:E28)</f>
        <v>-11235.199999999988</v>
      </c>
      <c r="F30" s="76"/>
      <c r="G30" s="77">
        <f>SUM(G23,G25:G28)</f>
        <v>15572.939181652879</v>
      </c>
      <c r="H30" s="77">
        <f>SUM(H23,H25:H28)</f>
        <v>12168.331440704947</v>
      </c>
      <c r="I30" s="77">
        <f>SUM(I23,I25:I28)</f>
        <v>13391.636024775464</v>
      </c>
      <c r="J30" s="77">
        <f>SUM(J23,J25:J28)</f>
        <v>14737.271067252996</v>
      </c>
      <c r="K30" s="77">
        <f>SUM(K23,K25:K28)</f>
        <v>16217.469613978355</v>
      </c>
      <c r="L30" s="45"/>
      <c r="M30" s="11" t="s">
        <v>142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4" t="s">
        <v>136</v>
      </c>
      <c r="C32" s="64"/>
      <c r="D32" s="65">
        <f>BS!C12</f>
        <v>11791.199999999999</v>
      </c>
      <c r="E32" s="65">
        <f>BS!D12</f>
        <v>19408.8</v>
      </c>
      <c r="F32" s="65"/>
      <c r="G32" s="65">
        <f>BS!E12</f>
        <v>8173.6</v>
      </c>
      <c r="H32" s="65">
        <f>BS!G12</f>
        <v>23746.539181652879</v>
      </c>
      <c r="I32" s="65">
        <f>BS!H12</f>
        <v>35914.870622357827</v>
      </c>
      <c r="J32" s="65">
        <f>BS!I12</f>
        <v>49306.50664713329</v>
      </c>
      <c r="K32" s="65">
        <f>BS!J12</f>
        <v>64043.777714386284</v>
      </c>
      <c r="L32" s="45"/>
    </row>
    <row r="33" spans="2:12">
      <c r="B33" s="64" t="s">
        <v>137</v>
      </c>
      <c r="C33" s="64"/>
      <c r="D33" s="65">
        <f>D30+D32</f>
        <v>19408.800000000054</v>
      </c>
      <c r="E33" s="65">
        <f>E30+E32</f>
        <v>8173.6000000000113</v>
      </c>
      <c r="F33" s="65"/>
      <c r="G33" s="65">
        <f>G30+G32</f>
        <v>23746.539181652879</v>
      </c>
      <c r="H33" s="65">
        <f>H30+H32</f>
        <v>35914.870622357827</v>
      </c>
      <c r="I33" s="65">
        <f>I30+I32</f>
        <v>49306.50664713329</v>
      </c>
      <c r="J33" s="65">
        <f>J30+J32</f>
        <v>64043.777714386284</v>
      </c>
      <c r="K33" s="65">
        <f>K30+K32</f>
        <v>80261.24732836464</v>
      </c>
      <c r="L33" s="45"/>
    </row>
    <row r="34" spans="2:12" ht="3.75" customHeight="1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9" t="s">
        <v>110</v>
      </c>
      <c r="C35" s="89"/>
      <c r="D35" s="89">
        <f>BS!D12</f>
        <v>19408.8</v>
      </c>
      <c r="E35" s="89">
        <f>BS!E12</f>
        <v>8173.6</v>
      </c>
      <c r="F35" s="89"/>
      <c r="G35" s="89">
        <f>BS!G12</f>
        <v>23746.539181652879</v>
      </c>
      <c r="H35" s="89">
        <f>BS!H12</f>
        <v>35914.870622357827</v>
      </c>
      <c r="I35" s="89">
        <f>BS!I12</f>
        <v>49306.50664713329</v>
      </c>
      <c r="J35" s="89">
        <f>BS!J12</f>
        <v>64043.777714386284</v>
      </c>
      <c r="K35" s="89">
        <f>BS!K12</f>
        <v>80261.24732836464</v>
      </c>
      <c r="L35" s="45"/>
    </row>
    <row r="36" spans="2:12" outlineLevel="1">
      <c r="B36" s="90"/>
      <c r="C36" s="90"/>
      <c r="D36" s="91">
        <f>D33-D35</f>
        <v>5.4569682106375694E-11</v>
      </c>
      <c r="E36" s="91">
        <f>E33-E35</f>
        <v>1.0913936421275139E-11</v>
      </c>
      <c r="F36" s="90"/>
      <c r="G36" s="91">
        <f>G33-G35</f>
        <v>0</v>
      </c>
      <c r="H36" s="91">
        <f>H33-H35</f>
        <v>0</v>
      </c>
      <c r="I36" s="91">
        <f>I33-I35</f>
        <v>0</v>
      </c>
      <c r="J36" s="91">
        <f>J33-J35</f>
        <v>0</v>
      </c>
      <c r="K36" s="91">
        <f>K33-K35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59"/>
      <c r="H7" s="59"/>
      <c r="I7" s="59"/>
      <c r="J7" s="59"/>
      <c r="K7" s="59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69"/>
      <c r="C11" s="69"/>
      <c r="D11" s="69"/>
      <c r="E11" s="69"/>
      <c r="F11" s="69"/>
      <c r="G11" s="70"/>
      <c r="H11" s="70"/>
      <c r="I11" s="70"/>
      <c r="J11" s="70"/>
      <c r="K11" s="70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0"/>
      <c r="F12" s="61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2"/>
      <c r="F13" s="61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0"/>
      <c r="F14" s="61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3"/>
      <c r="I22" s="63"/>
      <c r="J22" s="63"/>
      <c r="K22" s="63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3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3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3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7"/>
      <c r="K5" s="67"/>
      <c r="L5" s="67"/>
      <c r="M5" s="67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2014-11-23T12:46:54Z</dcterms:modified>
</cp:coreProperties>
</file>