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filterPrivacy="1" codeName="ThisWorkbook" defaultThemeVersion="124226"/>
  <bookViews>
    <workbookView xWindow="240" yWindow="225" windowWidth="14805" windowHeight="789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62913"/>
</workbook>
</file>

<file path=xl/calcChain.xml><?xml version="1.0" encoding="utf-8"?>
<calcChain xmlns="http://schemas.openxmlformats.org/spreadsheetml/2006/main">
  <c r="K52" i="8" l="1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22" i="8"/>
  <c r="J22" i="8"/>
  <c r="I22" i="8"/>
  <c r="H22" i="8"/>
  <c r="G22" i="8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5" i="8" l="1"/>
  <c r="G15" i="8" s="1"/>
  <c r="H15" i="8" s="1"/>
  <c r="I15" i="8" s="1"/>
  <c r="J15" i="8" s="1"/>
  <c r="K15" i="8" s="1"/>
  <c r="D15" i="8"/>
  <c r="D16" i="8" s="1"/>
  <c r="C15" i="8"/>
  <c r="E16" i="8" l="1"/>
  <c r="K10" i="8"/>
  <c r="J10" i="8"/>
  <c r="I10" i="8"/>
  <c r="H10" i="8"/>
  <c r="G10" i="8"/>
  <c r="E9" i="8" l="1"/>
  <c r="D9" i="8"/>
  <c r="D10" i="8" s="1"/>
  <c r="C9" i="8"/>
  <c r="E34" i="8" l="1"/>
  <c r="E28" i="8"/>
  <c r="E22" i="8"/>
  <c r="C22" i="8"/>
  <c r="C34" i="8"/>
  <c r="C28" i="8"/>
  <c r="E10" i="8"/>
  <c r="D28" i="8"/>
  <c r="D22" i="8"/>
  <c r="D34" i="8"/>
  <c r="G9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9" i="8" l="1"/>
  <c r="G21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9" i="8" l="1"/>
  <c r="H21" i="8"/>
  <c r="E8" i="3"/>
  <c r="K17" i="3"/>
  <c r="J17" i="3"/>
  <c r="D15" i="3"/>
  <c r="F15" i="3"/>
  <c r="F8" i="3"/>
  <c r="D8" i="3"/>
  <c r="L17" i="3"/>
  <c r="E15" i="3"/>
  <c r="L8" i="3"/>
  <c r="K8" i="3"/>
  <c r="J8" i="3"/>
  <c r="J9" i="8" l="1"/>
  <c r="I21" i="8"/>
  <c r="D19" i="3"/>
  <c r="F19" i="3"/>
  <c r="L19" i="3"/>
  <c r="J19" i="3"/>
  <c r="K19" i="3"/>
  <c r="E19" i="3"/>
  <c r="K9" i="8" l="1"/>
  <c r="J21" i="8"/>
  <c r="L22" i="3"/>
  <c r="K22" i="3"/>
  <c r="J22" i="3"/>
  <c r="K21" i="8" l="1"/>
</calcChain>
</file>

<file path=xl/sharedStrings.xml><?xml version="1.0" encoding="utf-8"?>
<sst xmlns="http://schemas.openxmlformats.org/spreadsheetml/2006/main" count="192" uniqueCount="97">
  <si>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</si>
  <si>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</si>
  <si>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</si>
  <si>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</si>
  <si>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</si>
  <si>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</si>
  <si>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</si>
  <si>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</si>
  <si>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</si>
  <si>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</si>
  <si>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</si>
  <si>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</si>
  <si>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</si>
  <si>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</si>
  <si>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</si>
  <si>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</si>
  <si>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</si>
  <si>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</si>
  <si>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</si>
  <si>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</si>
  <si>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</si>
  <si>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</si>
  <si>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</si>
  <si>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</si>
  <si>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</si>
  <si>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</si>
  <si>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</si>
  <si>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</si>
  <si>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</si>
  <si>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</si>
  <si>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</si>
  <si>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</si>
  <si>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</si>
  <si>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</si>
  <si>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</si>
  <si>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</si>
  <si>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</si>
  <si>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</si>
  <si>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</si>
  <si>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</si>
  <si>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</si>
  <si>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</si>
  <si>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</si>
  <si>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</si>
  <si>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</si>
  <si>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</si>
  <si>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</si>
  <si>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</si>
  <si>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</si>
  <si>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</si>
  <si>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</si>
  <si>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</si>
  <si>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</si>
  <si>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</si>
  <si>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</si>
  <si>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</si>
  <si>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</si>
  <si>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</si>
  <si>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</si>
  <si>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</si>
  <si>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</si>
  <si>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</si>
  <si>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</si>
  <si>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</si>
  <si>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</si>
  <si>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</si>
  <si>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</si>
  <si>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</si>
  <si>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</si>
  <si>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</si>
  <si>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</si>
  <si>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</si>
  <si>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</si>
  <si>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</si>
  <si>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</si>
  <si>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</si>
  <si>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</si>
  <si>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</si>
  <si>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</si>
  <si>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</si>
  <si>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</si>
  <si>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</si>
  <si>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</si>
  <si>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</si>
  <si>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</si>
  <si>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</si>
  <si>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</si>
  <si>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</si>
  <si>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</si>
  <si>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</si>
  <si>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</si>
  <si>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</si>
  <si>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</si>
  <si>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</si>
  <si>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</si>
  <si>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Interest expense</t>
  </si>
  <si>
    <t>% of 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</si>
</sst>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_-* #,##0_-;\-* #,##0_-;_-* &quot;-&quot;_-;_-@_-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4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79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1" fillId="2" borderId="0" xfId="0" applyNumberFormat="1" applyFont="1" applyFill="1" applyBorder="1"/>
    <xf numFmtId="166" fontId="6" fillId="2" borderId="0" xfId="0" applyNumberFormat="1" applyFont="1" applyFill="1" applyBorder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 applyBorder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 applyBorder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1" fillId="3" borderId="0" xfId="0" applyNumberFormat="1" applyFont="1" applyFill="1" applyBorder="1"/>
    <xf numFmtId="168" fontId="6" fillId="3" borderId="0" xfId="0" applyNumberFormat="1" applyFont="1" applyFill="1" applyBorder="1"/>
    <xf numFmtId="168" fontId="1" fillId="2" borderId="0" xfId="0" applyNumberFormat="1" applyFont="1" applyFill="1" applyBorder="1"/>
    <xf numFmtId="9" fontId="1" fillId="2" borderId="0" xfId="2" applyFont="1" applyFill="1" applyBorder="1"/>
    <xf numFmtId="168" fontId="6" fillId="2" borderId="0" xfId="0" applyNumberFormat="1" applyFont="1" applyFill="1" applyBorder="1"/>
    <xf numFmtId="166" fontId="10" fillId="2" borderId="0" xfId="0" applyNumberFormat="1" applyFont="1" applyFill="1" applyBorder="1"/>
    <xf numFmtId="166" fontId="12" fillId="2" borderId="0" xfId="0" applyNumberFormat="1" applyFont="1" applyFill="1" applyBorder="1"/>
    <xf numFmtId="166" fontId="1" fillId="3" borderId="0" xfId="0" applyNumberFormat="1" applyFont="1" applyFill="1" applyBorder="1"/>
    <xf numFmtId="9" fontId="1" fillId="3" borderId="0" xfId="2" applyFont="1" applyFill="1" applyBorder="1"/>
    <xf numFmtId="167" fontId="1" fillId="2" borderId="0" xfId="0" applyNumberFormat="1" applyFont="1" applyFill="1" applyBorder="1"/>
    <xf numFmtId="171" fontId="1" fillId="2" borderId="0" xfId="0" applyNumberFormat="1" applyFont="1" applyFill="1" applyBorder="1"/>
    <xf numFmtId="167" fontId="6" fillId="2" borderId="0" xfId="0" applyNumberFormat="1" applyFont="1" applyFill="1" applyBorder="1"/>
    <xf numFmtId="171" fontId="6" fillId="2" borderId="0" xfId="0" applyNumberFormat="1" applyFont="1" applyFill="1" applyBorder="1"/>
    <xf numFmtId="167" fontId="12" fillId="2" borderId="0" xfId="0" applyNumberFormat="1" applyFont="1" applyFill="1" applyBorder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9" fontId="1" fillId="2" borderId="0" xfId="2" applyFont="1" applyFill="1" applyAlignment="1">
      <alignment horizontal="right"/>
    </xf>
    <xf numFmtId="170" fontId="1" fillId="3" borderId="0" xfId="0" applyNumberFormat="1" applyFont="1" applyFill="1"/>
    <xf numFmtId="169" fontId="8" fillId="2" borderId="0" xfId="2" applyNumberFormat="1" applyFont="1" applyFill="1"/>
    <xf numFmtId="166" fontId="8" fillId="3" borderId="0" xfId="0" applyNumberFormat="1" applyFont="1" applyFill="1"/>
    <xf numFmtId="170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2" fontId="1" fillId="2" borderId="0" xfId="3" applyNumberFormat="1" applyFont="1" applyFill="1"/>
    <xf numFmtId="167" fontId="65" fillId="2" borderId="0" xfId="0" applyNumberFormat="1" applyFont="1" applyFill="1" applyBorder="1"/>
    <xf numFmtId="165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168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6" fontId="11" fillId="2" borderId="0" xfId="0" applyNumberFormat="1" applyFont="1" applyFill="1" applyBorder="1"/>
    <xf numFmtId="168" fontId="11" fillId="2" borderId="0" xfId="0" applyNumberFormat="1" applyFont="1" applyFill="1" applyBorder="1"/>
    <xf numFmtId="167" fontId="9" fillId="2" borderId="0" xfId="0" applyNumberFormat="1" applyFont="1" applyFill="1" applyBorder="1"/>
    <xf numFmtId="168" fontId="9" fillId="2" borderId="0" xfId="0" applyNumberFormat="1" applyFont="1" applyFill="1" applyBorder="1"/>
    <xf numFmtId="168" fontId="10" fillId="2" borderId="0" xfId="0" applyNumberFormat="1" applyFont="1" applyFill="1" applyBorder="1"/>
    <xf numFmtId="0" fontId="12" fillId="2" borderId="0" xfId="166" applyFont="1" applyFill="1"/>
    <xf numFmtId="183" fontId="1" fillId="2" borderId="0" xfId="0" applyNumberFormat="1" applyFont="1" applyFill="1"/>
    <xf numFmtId="167" fontId="1" fillId="3" borderId="0" xfId="0" applyNumberFormat="1" applyFont="1" applyFill="1" applyBorder="1"/>
    <xf numFmtId="168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6" fontId="1" fillId="47" borderId="0" xfId="0" applyNumberFormat="1" applyFont="1" applyFill="1"/>
    <xf numFmtId="170" fontId="1" fillId="3" borderId="0" xfId="0" applyNumberFormat="1" applyFont="1" applyFill="1" applyAlignment="1">
      <alignment horizontal="right"/>
    </xf>
    <xf numFmtId="169" fontId="1" fillId="3" borderId="0" xfId="2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1" t="s">
        <v>26</v>
      </c>
    </row>
    <row r="7" spans="2:3">
      <c r="B7" s="29">
        <f t="shared" ref="B7:B21" si="0">B6+1</f>
        <v>3</v>
      </c>
      <c r="C7" s="71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1" t="s">
        <v>6</v>
      </c>
    </row>
    <row r="10" spans="2:3">
      <c r="B10" s="29">
        <f t="shared" si="0"/>
        <v>6</v>
      </c>
      <c r="C10" s="71" t="s">
        <v>25</v>
      </c>
    </row>
    <row r="11" spans="2:3">
      <c r="B11" s="29">
        <f t="shared" si="0"/>
        <v>7</v>
      </c>
      <c r="C11" s="71" t="s">
        <v>28</v>
      </c>
    </row>
    <row r="12" spans="2:3">
      <c r="B12" s="29">
        <f t="shared" si="0"/>
        <v>8</v>
      </c>
      <c r="C12" s="71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1" t="s">
        <v>72</v>
      </c>
    </row>
    <row r="15" spans="2:3">
      <c r="B15" s="29">
        <f t="shared" si="0"/>
        <v>11</v>
      </c>
      <c r="C15" s="71" t="s">
        <v>69</v>
      </c>
    </row>
    <row r="16" spans="2:3">
      <c r="B16" s="29">
        <f t="shared" si="0"/>
        <v>12</v>
      </c>
      <c r="C16" s="71" t="s">
        <v>73</v>
      </c>
    </row>
    <row r="17" spans="2:3">
      <c r="B17" s="29">
        <f t="shared" si="0"/>
        <v>13</v>
      </c>
      <c r="C17" s="71" t="s">
        <v>74</v>
      </c>
    </row>
    <row r="18" spans="2:3">
      <c r="B18" s="29">
        <f t="shared" si="0"/>
        <v>14</v>
      </c>
      <c r="C18" s="71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1" t="s">
        <v>1</v>
      </c>
    </row>
    <row r="21" spans="2:3">
      <c r="B21" s="29">
        <f t="shared" si="0"/>
        <v>17</v>
      </c>
      <c r="C21" s="71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pane ySplit="8" topLeftCell="A12" activePane="bottomLeft" state="frozen"/>
      <selection pane="bottomLeft" activeCell="G27" sqref="G27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7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8"/>
      <c r="D11" s="78"/>
      <c r="E11" s="78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8"/>
      <c r="D12" s="78"/>
      <c r="E12" s="78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8"/>
      <c r="D13" s="78"/>
      <c r="E13" s="78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8"/>
      <c r="D17" s="78"/>
      <c r="E17" s="78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8"/>
      <c r="D18" s="78"/>
      <c r="E18" s="78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8"/>
      <c r="D19" s="78"/>
      <c r="E19" s="78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3">
        <f>G$9*G22</f>
        <v>-174193.976</v>
      </c>
      <c r="H21" s="53">
        <f t="shared" ref="H21:K21" si="6">H$9*H22</f>
        <v>-191613.37360000002</v>
      </c>
      <c r="I21" s="53">
        <f t="shared" si="6"/>
        <v>-210774.71096000005</v>
      </c>
      <c r="J21" s="53">
        <f t="shared" si="6"/>
        <v>-231852.18205600011</v>
      </c>
      <c r="K21" s="53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8"/>
      <c r="D23" s="78"/>
      <c r="E23" s="78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8"/>
      <c r="D24" s="78"/>
      <c r="E24" s="78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8"/>
      <c r="D25" s="78"/>
      <c r="E25" s="78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3"/>
      <c r="H27" s="53"/>
      <c r="I27" s="53"/>
      <c r="J27" s="53"/>
      <c r="K27" s="53"/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/>
      <c r="H28" s="27"/>
      <c r="I28" s="27"/>
      <c r="J28" s="27"/>
      <c r="K28" s="27"/>
    </row>
    <row r="29" spans="2:11" ht="12" customHeight="1">
      <c r="B29" s="7" t="s">
        <v>88</v>
      </c>
      <c r="C29" s="78"/>
      <c r="D29" s="78"/>
      <c r="E29" s="78"/>
      <c r="G29" s="80"/>
      <c r="H29" s="80"/>
      <c r="I29" s="80"/>
      <c r="J29" s="80"/>
      <c r="K29" s="80"/>
    </row>
    <row r="30" spans="2:11" ht="12" customHeight="1">
      <c r="B30" s="7" t="s">
        <v>89</v>
      </c>
      <c r="C30" s="78"/>
      <c r="D30" s="78"/>
      <c r="E30" s="78"/>
      <c r="G30" s="80"/>
      <c r="H30" s="80"/>
      <c r="I30" s="80"/>
      <c r="J30" s="80"/>
      <c r="K30" s="80"/>
    </row>
    <row r="31" spans="2:11" ht="12" customHeight="1">
      <c r="B31" s="7" t="s">
        <v>90</v>
      </c>
      <c r="C31" s="78"/>
      <c r="D31" s="78"/>
      <c r="E31" s="78"/>
      <c r="G31" s="80"/>
      <c r="H31" s="80"/>
      <c r="I31" s="80"/>
      <c r="J31" s="80"/>
      <c r="K31" s="80"/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3"/>
      <c r="H33" s="53"/>
      <c r="I33" s="53"/>
      <c r="J33" s="53"/>
      <c r="K33" s="53"/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/>
      <c r="H34" s="27"/>
      <c r="I34" s="27"/>
      <c r="J34" s="27"/>
      <c r="K34" s="27"/>
    </row>
    <row r="35" spans="2:11">
      <c r="B35" s="7" t="s">
        <v>88</v>
      </c>
      <c r="C35" s="78"/>
      <c r="D35" s="78"/>
      <c r="E35" s="78"/>
      <c r="G35" s="27"/>
      <c r="H35" s="27"/>
      <c r="I35" s="27"/>
      <c r="J35" s="27"/>
      <c r="K35" s="27"/>
    </row>
    <row r="36" spans="2:11">
      <c r="B36" s="7" t="s">
        <v>89</v>
      </c>
      <c r="C36" s="78"/>
      <c r="D36" s="78"/>
      <c r="E36" s="78"/>
      <c r="G36" s="27"/>
      <c r="H36" s="27"/>
      <c r="I36" s="27"/>
      <c r="J36" s="27"/>
      <c r="K36" s="27"/>
    </row>
    <row r="37" spans="2:11" ht="12" customHeight="1">
      <c r="B37" s="7" t="s">
        <v>90</v>
      </c>
      <c r="C37" s="78"/>
      <c r="D37" s="78"/>
      <c r="E37" s="78"/>
      <c r="G37" s="27"/>
      <c r="H37" s="27"/>
      <c r="I37" s="27"/>
      <c r="J37" s="27"/>
      <c r="K37" s="27"/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95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/>
      <c r="H39" s="28"/>
      <c r="I39" s="28"/>
      <c r="J39" s="28"/>
      <c r="K39" s="28"/>
    </row>
    <row r="40" spans="2:11" ht="12" customHeight="1">
      <c r="B40" s="7" t="s">
        <v>87</v>
      </c>
      <c r="C40" s="52"/>
      <c r="D40" s="52"/>
      <c r="E40" s="52"/>
      <c r="G40" s="27">
        <f>+CHOOSE($C$5,G41,G42,G43)</f>
        <v>0</v>
      </c>
      <c r="H40" s="27">
        <f t="shared" ref="H40:K40" si="8">+CHOOSE($C$5,H41,H42,H43)</f>
        <v>0</v>
      </c>
      <c r="I40" s="27">
        <f t="shared" si="8"/>
        <v>0</v>
      </c>
      <c r="J40" s="27">
        <f t="shared" si="8"/>
        <v>0</v>
      </c>
      <c r="K40" s="27">
        <f t="shared" si="8"/>
        <v>0</v>
      </c>
    </row>
    <row r="41" spans="2:11" ht="12" customHeight="1">
      <c r="B41" s="7" t="s">
        <v>88</v>
      </c>
      <c r="C41" s="78"/>
      <c r="D41" s="78"/>
      <c r="E41" s="78"/>
      <c r="G41" s="27"/>
      <c r="H41" s="27"/>
      <c r="I41" s="27"/>
      <c r="J41" s="27"/>
      <c r="K41" s="27"/>
    </row>
    <row r="42" spans="2:11" ht="12" customHeight="1">
      <c r="B42" s="7" t="s">
        <v>89</v>
      </c>
      <c r="C42" s="78"/>
      <c r="D42" s="78"/>
      <c r="E42" s="78"/>
      <c r="G42" s="27"/>
      <c r="H42" s="27"/>
      <c r="I42" s="27"/>
      <c r="J42" s="27"/>
      <c r="K42" s="27"/>
    </row>
    <row r="43" spans="2:11" ht="12" customHeight="1">
      <c r="B43" s="7" t="s">
        <v>90</v>
      </c>
      <c r="C43" s="78"/>
      <c r="D43" s="78"/>
      <c r="E43" s="78"/>
      <c r="G43" s="27"/>
      <c r="H43" s="27"/>
      <c r="I43" s="27"/>
      <c r="J43" s="27"/>
      <c r="K43" s="27"/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79"/>
      <c r="H45" s="79"/>
      <c r="I45" s="79"/>
      <c r="J45" s="79"/>
      <c r="K45" s="79"/>
    </row>
    <row r="46" spans="2:11" ht="12" customHeight="1">
      <c r="B46" s="7" t="s">
        <v>87</v>
      </c>
      <c r="G46" s="27">
        <f>+CHOOSE($C$5,G47,G48,G49)</f>
        <v>0</v>
      </c>
      <c r="H46" s="27">
        <f t="shared" ref="H46:K46" si="9">+CHOOSE($C$5,H47,H48,H49)</f>
        <v>0</v>
      </c>
      <c r="I46" s="27">
        <f t="shared" si="9"/>
        <v>0</v>
      </c>
      <c r="J46" s="27">
        <f t="shared" si="9"/>
        <v>0</v>
      </c>
      <c r="K46" s="27">
        <f t="shared" si="9"/>
        <v>0</v>
      </c>
    </row>
    <row r="47" spans="2:11" ht="12" customHeight="1">
      <c r="B47" s="7" t="s">
        <v>88</v>
      </c>
      <c r="C47" s="78"/>
      <c r="D47" s="78"/>
      <c r="E47" s="78"/>
      <c r="G47" s="27"/>
      <c r="H47" s="27"/>
      <c r="I47" s="27"/>
      <c r="J47" s="27"/>
      <c r="K47" s="27"/>
    </row>
    <row r="48" spans="2:11" ht="12" customHeight="1">
      <c r="B48" s="7" t="s">
        <v>89</v>
      </c>
      <c r="C48" s="78"/>
      <c r="D48" s="78"/>
      <c r="E48" s="78"/>
      <c r="G48" s="27"/>
      <c r="H48" s="27"/>
      <c r="I48" s="27"/>
      <c r="J48" s="27"/>
      <c r="K48" s="27"/>
    </row>
    <row r="49" spans="2:11" ht="12" customHeight="1">
      <c r="B49" s="7" t="s">
        <v>90</v>
      </c>
      <c r="C49" s="78"/>
      <c r="D49" s="78"/>
      <c r="E49" s="78"/>
      <c r="G49" s="27"/>
      <c r="H49" s="27"/>
      <c r="I49" s="27"/>
      <c r="J49" s="27"/>
      <c r="K49" s="27"/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96</v>
      </c>
      <c r="G52" s="27">
        <f>+CHOOSE($C$5,G53,G54,G55)</f>
        <v>0</v>
      </c>
      <c r="H52" s="27">
        <f t="shared" ref="H52:K52" si="10">+CHOOSE($C$5,H53,H54,H55)</f>
        <v>0</v>
      </c>
      <c r="I52" s="27">
        <f t="shared" si="10"/>
        <v>0</v>
      </c>
      <c r="J52" s="27">
        <f t="shared" si="10"/>
        <v>0</v>
      </c>
      <c r="K52" s="27">
        <f t="shared" si="10"/>
        <v>0</v>
      </c>
    </row>
    <row r="53" spans="2:11">
      <c r="B53" s="7" t="s">
        <v>88</v>
      </c>
      <c r="C53" s="78"/>
      <c r="D53" s="78"/>
      <c r="E53" s="78"/>
      <c r="G53" s="27"/>
      <c r="H53" s="27"/>
      <c r="I53" s="27"/>
      <c r="J53" s="27"/>
      <c r="K53" s="27"/>
    </row>
    <row r="54" spans="2:11">
      <c r="B54" s="7" t="s">
        <v>89</v>
      </c>
      <c r="C54" s="78"/>
      <c r="D54" s="78"/>
      <c r="E54" s="78"/>
      <c r="G54" s="27"/>
      <c r="H54" s="27"/>
      <c r="I54" s="27"/>
      <c r="J54" s="27"/>
      <c r="K54" s="27"/>
    </row>
    <row r="55" spans="2:11">
      <c r="B55" s="7" t="s">
        <v>90</v>
      </c>
      <c r="C55" s="78"/>
      <c r="D55" s="78"/>
      <c r="E55" s="78"/>
      <c r="G55" s="27"/>
      <c r="H55" s="27"/>
      <c r="I55" s="27"/>
      <c r="J55" s="27"/>
      <c r="K55" s="27"/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3"/>
      <c r="H18" s="73"/>
      <c r="I18" s="73"/>
      <c r="J18" s="73"/>
      <c r="K18" s="73"/>
      <c r="L18" s="45"/>
      <c r="N18" s="45"/>
      <c r="O18" s="45"/>
    </row>
    <row r="19" spans="2:15">
      <c r="B19" s="66"/>
      <c r="C19" s="66"/>
      <c r="D19" s="67"/>
      <c r="E19" s="67"/>
      <c r="F19" s="66"/>
      <c r="G19" s="74"/>
      <c r="H19" s="74"/>
      <c r="I19" s="74"/>
      <c r="J19" s="74"/>
      <c r="K19" s="74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3"/>
      <c r="H20" s="73"/>
      <c r="I20" s="73"/>
      <c r="J20" s="73"/>
      <c r="K20" s="73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5"/>
      <c r="C11" s="75"/>
      <c r="D11" s="75"/>
      <c r="E11" s="75"/>
      <c r="F11" s="75"/>
      <c r="G11" s="76"/>
      <c r="H11" s="76"/>
      <c r="I11" s="76"/>
      <c r="J11" s="76"/>
      <c r="K11" s="76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2"/>
      <c r="K5" s="72"/>
      <c r="L5" s="72"/>
      <c r="M5" s="72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2016-06-20T14:59:29Z</dcterms:modified>
</cp:coreProperties>
</file>