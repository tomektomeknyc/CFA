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filterPrivacy="1" codeName="ThisWorkbook" defaultThemeVersion="124226"/>
  <bookViews>
    <workbookView xWindow="240" yWindow="465" windowWidth="14805" windowHeight="7650" firstSheet="2" activeTab="8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I19" i="7" l="1"/>
  <c r="J6" i="7"/>
  <c r="E19" i="7"/>
  <c r="J19" i="7" s="1"/>
  <c r="J27" i="6" s="1"/>
  <c r="D19" i="7"/>
  <c r="E12" i="7"/>
  <c r="D12" i="7"/>
  <c r="E6" i="7"/>
  <c r="I6" i="7" s="1"/>
  <c r="D6" i="7"/>
  <c r="E4" i="7"/>
  <c r="E19" i="6" s="1"/>
  <c r="D4" i="7"/>
  <c r="C19" i="7"/>
  <c r="C12" i="7"/>
  <c r="D32" i="6" s="1"/>
  <c r="C6" i="7"/>
  <c r="C4" i="7"/>
  <c r="G32" i="6" l="1"/>
  <c r="E35" i="6"/>
  <c r="G4" i="7"/>
  <c r="G19" i="6" s="1"/>
  <c r="D27" i="6"/>
  <c r="H4" i="7"/>
  <c r="G6" i="7"/>
  <c r="K6" i="7"/>
  <c r="I27" i="6"/>
  <c r="E27" i="6"/>
  <c r="I4" i="7"/>
  <c r="H6" i="7"/>
  <c r="G19" i="7"/>
  <c r="G27" i="6" s="1"/>
  <c r="K19" i="7"/>
  <c r="K27" i="6" s="1"/>
  <c r="K4" i="7"/>
  <c r="D19" i="6"/>
  <c r="E32" i="6"/>
  <c r="D35" i="6"/>
  <c r="J4" i="7"/>
  <c r="J19" i="6" s="1"/>
  <c r="H19" i="7"/>
  <c r="H27" i="6" l="1"/>
  <c r="K19" i="6"/>
  <c r="I19" i="6"/>
  <c r="H19" i="6"/>
  <c r="E20" i="9" l="1"/>
  <c r="E17" i="7" s="1"/>
  <c r="D20" i="9"/>
  <c r="D17" i="7" s="1"/>
  <c r="C20" i="9"/>
  <c r="C17" i="7" s="1"/>
  <c r="E17" i="9"/>
  <c r="E10" i="7" s="1"/>
  <c r="D17" i="9"/>
  <c r="D10" i="7" s="1"/>
  <c r="D16" i="6" s="1"/>
  <c r="C17" i="9"/>
  <c r="C10" i="7" s="1"/>
  <c r="E14" i="9"/>
  <c r="E5" i="7" s="1"/>
  <c r="D14" i="9"/>
  <c r="D5" i="7" s="1"/>
  <c r="C14" i="9"/>
  <c r="C5" i="7" s="1"/>
  <c r="E16" i="6" l="1"/>
  <c r="E11" i="9"/>
  <c r="E16" i="7" s="1"/>
  <c r="D11" i="9"/>
  <c r="D16" i="7" s="1"/>
  <c r="C11" i="9"/>
  <c r="C16" i="7" s="1"/>
  <c r="E8" i="9"/>
  <c r="E8" i="7" s="1"/>
  <c r="D8" i="9"/>
  <c r="D8" i="7" s="1"/>
  <c r="D12" i="6" s="1"/>
  <c r="C8" i="9"/>
  <c r="C8" i="7" s="1"/>
  <c r="C14" i="7" s="1"/>
  <c r="E5" i="9"/>
  <c r="E9" i="7" s="1"/>
  <c r="E13" i="6" s="1"/>
  <c r="D5" i="9"/>
  <c r="D9" i="7" s="1"/>
  <c r="C5" i="9"/>
  <c r="C9" i="7" s="1"/>
  <c r="D13" i="6" l="1"/>
  <c r="E12" i="6"/>
  <c r="D14" i="6"/>
  <c r="D14" i="7"/>
  <c r="D15" i="6"/>
  <c r="E14" i="6"/>
  <c r="E14" i="7"/>
  <c r="E15" i="6" l="1"/>
  <c r="K52" i="8" l="1"/>
  <c r="K22" i="5" s="1"/>
  <c r="J52" i="8"/>
  <c r="J22" i="5" s="1"/>
  <c r="I52" i="8"/>
  <c r="I22" i="5" s="1"/>
  <c r="H52" i="8"/>
  <c r="H22" i="5" s="1"/>
  <c r="G52" i="8"/>
  <c r="G22" i="5" s="1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I6" i="6" l="1"/>
  <c r="J6" i="6"/>
  <c r="G6" i="6"/>
  <c r="K6" i="6"/>
  <c r="H6" i="6"/>
  <c r="E51" i="8"/>
  <c r="E21" i="5" s="1"/>
  <c r="D51" i="8"/>
  <c r="D21" i="5" s="1"/>
  <c r="C51" i="8"/>
  <c r="C21" i="5" s="1"/>
  <c r="E45" i="8"/>
  <c r="D45" i="8"/>
  <c r="C45" i="8"/>
  <c r="E39" i="8"/>
  <c r="D39" i="8"/>
  <c r="C39" i="8"/>
  <c r="C17" i="5" s="1"/>
  <c r="E33" i="8"/>
  <c r="D33" i="8"/>
  <c r="C33" i="8"/>
  <c r="E27" i="8"/>
  <c r="D27" i="8"/>
  <c r="C27" i="8"/>
  <c r="E21" i="8"/>
  <c r="D21" i="8"/>
  <c r="C21" i="8"/>
  <c r="D18" i="5" l="1"/>
  <c r="D21" i="6" s="1"/>
  <c r="E11" i="5"/>
  <c r="E8" i="5"/>
  <c r="E12" i="9"/>
  <c r="E9" i="9"/>
  <c r="C14" i="5"/>
  <c r="D17" i="5"/>
  <c r="D25" i="6" s="1"/>
  <c r="D40" i="8"/>
  <c r="E18" i="5"/>
  <c r="E21" i="6" s="1"/>
  <c r="D8" i="5"/>
  <c r="D12" i="9"/>
  <c r="D9" i="9"/>
  <c r="C11" i="5"/>
  <c r="D14" i="5"/>
  <c r="E17" i="5"/>
  <c r="E25" i="6" s="1"/>
  <c r="G39" i="8"/>
  <c r="E40" i="8"/>
  <c r="C8" i="5"/>
  <c r="C9" i="9"/>
  <c r="C12" i="9"/>
  <c r="D11" i="5"/>
  <c r="E14" i="5"/>
  <c r="C18" i="5"/>
  <c r="E15" i="8"/>
  <c r="D15" i="8"/>
  <c r="D5" i="5" s="1"/>
  <c r="C15" i="8"/>
  <c r="C5" i="5" s="1"/>
  <c r="E5" i="5" l="1"/>
  <c r="G15" i="8"/>
  <c r="E9" i="6"/>
  <c r="E18" i="6"/>
  <c r="E16" i="8"/>
  <c r="D16" i="8"/>
  <c r="D9" i="6"/>
  <c r="D18" i="6"/>
  <c r="H9" i="9"/>
  <c r="K9" i="9"/>
  <c r="G9" i="9"/>
  <c r="J9" i="9"/>
  <c r="I9" i="9"/>
  <c r="H39" i="8"/>
  <c r="G17" i="5"/>
  <c r="G25" i="6" s="1"/>
  <c r="K12" i="9"/>
  <c r="G12" i="9"/>
  <c r="J12" i="9"/>
  <c r="I12" i="9"/>
  <c r="H12" i="9"/>
  <c r="K10" i="8"/>
  <c r="J10" i="8"/>
  <c r="I10" i="8"/>
  <c r="H10" i="8"/>
  <c r="G10" i="8"/>
  <c r="I39" i="8" l="1"/>
  <c r="H17" i="5"/>
  <c r="H25" i="6" s="1"/>
  <c r="H15" i="8"/>
  <c r="G5" i="5"/>
  <c r="E9" i="8"/>
  <c r="D9" i="8"/>
  <c r="C9" i="8"/>
  <c r="D4" i="5" l="1"/>
  <c r="D6" i="5" s="1"/>
  <c r="D9" i="5" s="1"/>
  <c r="D12" i="5" s="1"/>
  <c r="D15" i="5" s="1"/>
  <c r="D18" i="9"/>
  <c r="D15" i="9"/>
  <c r="D21" i="9"/>
  <c r="D6" i="9"/>
  <c r="D46" i="8"/>
  <c r="D28" i="8"/>
  <c r="D22" i="8"/>
  <c r="D34" i="8"/>
  <c r="J39" i="8"/>
  <c r="I17" i="5"/>
  <c r="I25" i="6" s="1"/>
  <c r="C4" i="5"/>
  <c r="C6" i="5" s="1"/>
  <c r="C9" i="5" s="1"/>
  <c r="C12" i="5" s="1"/>
  <c r="C15" i="5" s="1"/>
  <c r="C19" i="5" s="1"/>
  <c r="C21" i="9"/>
  <c r="C18" i="9"/>
  <c r="C15" i="9"/>
  <c r="C6" i="9"/>
  <c r="C34" i="8"/>
  <c r="C28" i="8"/>
  <c r="C46" i="8"/>
  <c r="C22" i="8"/>
  <c r="E10" i="8"/>
  <c r="E4" i="5"/>
  <c r="E6" i="5" s="1"/>
  <c r="E9" i="5" s="1"/>
  <c r="E12" i="5" s="1"/>
  <c r="E15" i="5" s="1"/>
  <c r="E18" i="9"/>
  <c r="E21" i="9"/>
  <c r="E15" i="9"/>
  <c r="E6" i="9"/>
  <c r="E46" i="8"/>
  <c r="E28" i="8"/>
  <c r="E22" i="8"/>
  <c r="E34" i="8"/>
  <c r="I15" i="8"/>
  <c r="H5" i="5"/>
  <c r="D10" i="8"/>
  <c r="G9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C24" i="5" l="1"/>
  <c r="C22" i="5"/>
  <c r="C52" i="8" s="1"/>
  <c r="J15" i="8"/>
  <c r="I5" i="5"/>
  <c r="J15" i="9"/>
  <c r="I15" i="9"/>
  <c r="H15" i="9"/>
  <c r="K15" i="9"/>
  <c r="G15" i="9"/>
  <c r="G14" i="9" s="1"/>
  <c r="G5" i="7" s="1"/>
  <c r="H9" i="8"/>
  <c r="G4" i="5"/>
  <c r="G6" i="5" s="1"/>
  <c r="G45" i="8"/>
  <c r="G18" i="5" s="1"/>
  <c r="G21" i="6" s="1"/>
  <c r="G27" i="8"/>
  <c r="G11" i="5" s="1"/>
  <c r="G21" i="8"/>
  <c r="G33" i="8"/>
  <c r="G14" i="5" s="1"/>
  <c r="G9" i="6" s="1"/>
  <c r="I6" i="9"/>
  <c r="H6" i="9"/>
  <c r="H5" i="9" s="1"/>
  <c r="H9" i="7" s="1"/>
  <c r="K6" i="9"/>
  <c r="G6" i="9"/>
  <c r="G5" i="9" s="1"/>
  <c r="G9" i="7" s="1"/>
  <c r="G13" i="6" s="1"/>
  <c r="J6" i="9"/>
  <c r="E19" i="5"/>
  <c r="E4" i="6"/>
  <c r="I18" i="9"/>
  <c r="H18" i="9"/>
  <c r="H17" i="9" s="1"/>
  <c r="H10" i="7" s="1"/>
  <c r="K18" i="9"/>
  <c r="G18" i="9"/>
  <c r="G17" i="9" s="1"/>
  <c r="G10" i="7" s="1"/>
  <c r="J18" i="9"/>
  <c r="K39" i="8"/>
  <c r="K17" i="5" s="1"/>
  <c r="K25" i="6" s="1"/>
  <c r="J17" i="5"/>
  <c r="J25" i="6" s="1"/>
  <c r="H21" i="9"/>
  <c r="H20" i="9" s="1"/>
  <c r="H17" i="7" s="1"/>
  <c r="K21" i="9"/>
  <c r="G21" i="9"/>
  <c r="G20" i="9" s="1"/>
  <c r="G17" i="7" s="1"/>
  <c r="J21" i="9"/>
  <c r="I21" i="9"/>
  <c r="D4" i="6"/>
  <c r="D19" i="5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H16" i="6" l="1"/>
  <c r="H14" i="9"/>
  <c r="H5" i="7" s="1"/>
  <c r="K15" i="8"/>
  <c r="K5" i="5" s="1"/>
  <c r="J5" i="5"/>
  <c r="D24" i="5"/>
  <c r="D22" i="5"/>
  <c r="G16" i="6"/>
  <c r="G8" i="5"/>
  <c r="G9" i="5" s="1"/>
  <c r="G12" i="5" s="1"/>
  <c r="G15" i="5" s="1"/>
  <c r="G11" i="9"/>
  <c r="G16" i="7" s="1"/>
  <c r="G8" i="9"/>
  <c r="G8" i="7" s="1"/>
  <c r="G12" i="6" s="1"/>
  <c r="I9" i="8"/>
  <c r="I17" i="9" s="1"/>
  <c r="I10" i="7" s="1"/>
  <c r="H4" i="5"/>
  <c r="H6" i="5" s="1"/>
  <c r="H45" i="8"/>
  <c r="H18" i="5" s="1"/>
  <c r="H21" i="6" s="1"/>
  <c r="H27" i="8"/>
  <c r="H11" i="5" s="1"/>
  <c r="H21" i="8"/>
  <c r="H33" i="8"/>
  <c r="H14" i="5" s="1"/>
  <c r="H9" i="6" s="1"/>
  <c r="I14" i="9"/>
  <c r="I5" i="7" s="1"/>
  <c r="E24" i="5"/>
  <c r="E22" i="5"/>
  <c r="H13" i="6"/>
  <c r="G18" i="6"/>
  <c r="E8" i="3"/>
  <c r="K17" i="3"/>
  <c r="J17" i="3"/>
  <c r="D15" i="3"/>
  <c r="F15" i="3"/>
  <c r="F8" i="3"/>
  <c r="D8" i="3"/>
  <c r="L17" i="3"/>
  <c r="E15" i="3"/>
  <c r="L8" i="3"/>
  <c r="E21" i="7" s="1"/>
  <c r="K8" i="3"/>
  <c r="D21" i="7" s="1"/>
  <c r="J8" i="3"/>
  <c r="C21" i="7" s="1"/>
  <c r="C23" i="7" s="1"/>
  <c r="C26" i="7" s="1"/>
  <c r="G19" i="5" l="1"/>
  <c r="G4" i="6"/>
  <c r="E52" i="8"/>
  <c r="E6" i="6"/>
  <c r="E5" i="6" s="1"/>
  <c r="D28" i="6"/>
  <c r="D23" i="7"/>
  <c r="D26" i="7" s="1"/>
  <c r="H8" i="5"/>
  <c r="H9" i="5" s="1"/>
  <c r="H12" i="5" s="1"/>
  <c r="H15" i="5" s="1"/>
  <c r="H8" i="9"/>
  <c r="H8" i="7" s="1"/>
  <c r="H12" i="6" s="1"/>
  <c r="H11" i="9"/>
  <c r="H16" i="7" s="1"/>
  <c r="J9" i="8"/>
  <c r="I4" i="5"/>
  <c r="I6" i="5" s="1"/>
  <c r="I45" i="8"/>
  <c r="I18" i="5" s="1"/>
  <c r="I21" i="6" s="1"/>
  <c r="I27" i="8"/>
  <c r="I11" i="5" s="1"/>
  <c r="I33" i="8"/>
  <c r="I14" i="5" s="1"/>
  <c r="I9" i="6" s="1"/>
  <c r="I21" i="8"/>
  <c r="D52" i="8"/>
  <c r="D6" i="6"/>
  <c r="D5" i="6" s="1"/>
  <c r="I5" i="9"/>
  <c r="I9" i="7" s="1"/>
  <c r="I13" i="6" s="1"/>
  <c r="H18" i="6"/>
  <c r="E28" i="6"/>
  <c r="E23" i="7"/>
  <c r="E26" i="7" s="1"/>
  <c r="I18" i="6"/>
  <c r="G14" i="6"/>
  <c r="G15" i="6" s="1"/>
  <c r="I20" i="9"/>
  <c r="I17" i="7" s="1"/>
  <c r="I16" i="6" s="1"/>
  <c r="D19" i="3"/>
  <c r="F19" i="3"/>
  <c r="L19" i="3"/>
  <c r="J19" i="3"/>
  <c r="K19" i="3"/>
  <c r="E19" i="3"/>
  <c r="H19" i="5" l="1"/>
  <c r="H4" i="6"/>
  <c r="I8" i="5"/>
  <c r="I9" i="5" s="1"/>
  <c r="I12" i="5" s="1"/>
  <c r="I15" i="5" s="1"/>
  <c r="I11" i="9"/>
  <c r="I16" i="7" s="1"/>
  <c r="I8" i="9"/>
  <c r="I8" i="7" s="1"/>
  <c r="K9" i="8"/>
  <c r="J4" i="5"/>
  <c r="J6" i="5" s="1"/>
  <c r="J45" i="8"/>
  <c r="J18" i="5" s="1"/>
  <c r="J21" i="6" s="1"/>
  <c r="J27" i="8"/>
  <c r="J11" i="5" s="1"/>
  <c r="J21" i="8"/>
  <c r="J33" i="8"/>
  <c r="J14" i="5" s="1"/>
  <c r="J9" i="6" s="1"/>
  <c r="J20" i="9"/>
  <c r="J17" i="7" s="1"/>
  <c r="J5" i="9"/>
  <c r="J9" i="7" s="1"/>
  <c r="J13" i="6" s="1"/>
  <c r="J17" i="9"/>
  <c r="J10" i="7" s="1"/>
  <c r="J14" i="9"/>
  <c r="J5" i="7" s="1"/>
  <c r="E7" i="6"/>
  <c r="E10" i="6" s="1"/>
  <c r="E23" i="6" s="1"/>
  <c r="E26" i="6"/>
  <c r="G5" i="6"/>
  <c r="D26" i="6"/>
  <c r="D7" i="6"/>
  <c r="D10" i="6" s="1"/>
  <c r="D23" i="6" s="1"/>
  <c r="H14" i="6"/>
  <c r="H15" i="6" s="1"/>
  <c r="G21" i="5"/>
  <c r="G24" i="5" s="1"/>
  <c r="G21" i="7" s="1"/>
  <c r="L22" i="3"/>
  <c r="K22" i="3"/>
  <c r="J22" i="3"/>
  <c r="I19" i="5" l="1"/>
  <c r="I4" i="6"/>
  <c r="I5" i="6" s="1"/>
  <c r="I7" i="6" s="1"/>
  <c r="I10" i="6" s="1"/>
  <c r="G28" i="6"/>
  <c r="G23" i="7"/>
  <c r="E30" i="6"/>
  <c r="E33" i="6" s="1"/>
  <c r="E36" i="6" s="1"/>
  <c r="G26" i="6"/>
  <c r="G7" i="6"/>
  <c r="G10" i="6" s="1"/>
  <c r="G23" i="6" s="1"/>
  <c r="J16" i="6"/>
  <c r="J8" i="5"/>
  <c r="J8" i="9"/>
  <c r="J8" i="7" s="1"/>
  <c r="J12" i="6" s="1"/>
  <c r="J11" i="9"/>
  <c r="J16" i="7" s="1"/>
  <c r="K4" i="5"/>
  <c r="K6" i="5" s="1"/>
  <c r="K45" i="8"/>
  <c r="K18" i="5" s="1"/>
  <c r="K21" i="6" s="1"/>
  <c r="K27" i="8"/>
  <c r="K11" i="5" s="1"/>
  <c r="K33" i="8"/>
  <c r="K14" i="5" s="1"/>
  <c r="K9" i="6" s="1"/>
  <c r="K21" i="8"/>
  <c r="K20" i="9"/>
  <c r="K17" i="7" s="1"/>
  <c r="K17" i="9"/>
  <c r="K10" i="7" s="1"/>
  <c r="K5" i="9"/>
  <c r="K9" i="7" s="1"/>
  <c r="K13" i="6" s="1"/>
  <c r="K14" i="9"/>
  <c r="K5" i="7" s="1"/>
  <c r="D30" i="6"/>
  <c r="D33" i="6" s="1"/>
  <c r="D36" i="6" s="1"/>
  <c r="I12" i="6"/>
  <c r="I15" i="6" s="1"/>
  <c r="I14" i="6"/>
  <c r="H7" i="6"/>
  <c r="H10" i="6" s="1"/>
  <c r="H23" i="6" s="1"/>
  <c r="H5" i="6"/>
  <c r="J18" i="6"/>
  <c r="J9" i="5"/>
  <c r="J12" i="5" s="1"/>
  <c r="J15" i="5" s="1"/>
  <c r="H21" i="5"/>
  <c r="H24" i="5" s="1"/>
  <c r="H21" i="7" s="1"/>
  <c r="H28" i="6" l="1"/>
  <c r="H23" i="7"/>
  <c r="J19" i="5"/>
  <c r="J4" i="6"/>
  <c r="K16" i="6"/>
  <c r="H26" i="6"/>
  <c r="K18" i="6"/>
  <c r="K8" i="5"/>
  <c r="K9" i="5" s="1"/>
  <c r="K12" i="5" s="1"/>
  <c r="K15" i="5" s="1"/>
  <c r="K11" i="9"/>
  <c r="K16" i="7" s="1"/>
  <c r="K8" i="9"/>
  <c r="K8" i="7" s="1"/>
  <c r="K12" i="6" s="1"/>
  <c r="I23" i="6"/>
  <c r="H30" i="6"/>
  <c r="J14" i="6"/>
  <c r="J15" i="6" s="1"/>
  <c r="G30" i="6"/>
  <c r="I21" i="5"/>
  <c r="I26" i="6" s="1"/>
  <c r="K19" i="5" l="1"/>
  <c r="K4" i="6"/>
  <c r="K14" i="6"/>
  <c r="J21" i="5"/>
  <c r="J24" i="5" s="1"/>
  <c r="G33" i="6"/>
  <c r="G12" i="7"/>
  <c r="I24" i="5"/>
  <c r="I21" i="7" s="1"/>
  <c r="K15" i="6"/>
  <c r="J5" i="6"/>
  <c r="J26" i="6" s="1"/>
  <c r="J21" i="7" l="1"/>
  <c r="I28" i="6"/>
  <c r="I30" i="6" s="1"/>
  <c r="I23" i="7"/>
  <c r="H32" i="6"/>
  <c r="H33" i="6" s="1"/>
  <c r="G35" i="6"/>
  <c r="G36" i="6" s="1"/>
  <c r="H12" i="7"/>
  <c r="G14" i="7"/>
  <c r="G26" i="7" s="1"/>
  <c r="J7" i="6"/>
  <c r="J10" i="6" s="1"/>
  <c r="J23" i="6" s="1"/>
  <c r="K5" i="6"/>
  <c r="K26" i="6" s="1"/>
  <c r="K21" i="5"/>
  <c r="K24" i="5" s="1"/>
  <c r="I32" i="6" l="1"/>
  <c r="I33" i="6" s="1"/>
  <c r="H35" i="6"/>
  <c r="H36" i="6" s="1"/>
  <c r="I12" i="7"/>
  <c r="H14" i="7"/>
  <c r="H26" i="7" s="1"/>
  <c r="K7" i="6"/>
  <c r="K21" i="7"/>
  <c r="J28" i="6"/>
  <c r="J30" i="6" s="1"/>
  <c r="J23" i="7"/>
  <c r="K28" i="6" l="1"/>
  <c r="K23" i="7"/>
  <c r="K10" i="6"/>
  <c r="K23" i="6" s="1"/>
  <c r="K30" i="6" s="1"/>
  <c r="J32" i="6"/>
  <c r="J33" i="6" s="1"/>
  <c r="I35" i="6"/>
  <c r="I36" i="6" s="1"/>
  <c r="J12" i="7"/>
  <c r="I14" i="7"/>
  <c r="I26" i="7" s="1"/>
  <c r="K12" i="7" l="1"/>
  <c r="J35" i="6"/>
  <c r="J36" i="6" s="1"/>
  <c r="K32" i="6"/>
  <c r="K33" i="6" s="1"/>
  <c r="J14" i="7"/>
  <c r="J26" i="7" s="1"/>
  <c r="K35" i="6" l="1"/>
  <c r="K36" i="6" s="1"/>
  <c r="K14" i="7"/>
  <c r="K26" i="7" s="1"/>
</calcChain>
</file>

<file path=xl/sharedStrings.xml><?xml version="1.0" encoding="utf-8"?>
<sst xmlns="http://schemas.openxmlformats.org/spreadsheetml/2006/main" count="279" uniqueCount="146">
  <si>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</si>
  <si>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</si>
  <si>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</si>
  <si>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</si>
  <si>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</si>
  <si>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</si>
  <si>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</si>
  <si>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</si>
  <si>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</si>
  <si>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</si>
  <si>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</si>
  <si>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</si>
  <si>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</si>
  <si>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</si>
  <si>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</si>
  <si>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</si>
  <si>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</si>
  <si>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</si>
  <si>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</si>
  <si>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</si>
  <si>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</si>
  <si>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</si>
  <si>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</si>
  <si>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</si>
  <si>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</si>
  <si>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</si>
  <si>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</si>
  <si>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</si>
  <si>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</si>
  <si>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</si>
  <si>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</si>
  <si>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</si>
  <si>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</si>
  <si>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</si>
  <si>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</si>
  <si>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</si>
  <si>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</si>
  <si>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</si>
  <si>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</si>
  <si>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</si>
  <si>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</si>
  <si>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</si>
  <si>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</si>
  <si>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</si>
  <si>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</si>
  <si>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</si>
  <si>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</si>
  <si>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</si>
  <si>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</si>
  <si>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</si>
  <si>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</si>
  <si>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</si>
  <si>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</si>
  <si>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</si>
  <si>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</si>
  <si>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</si>
  <si>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</si>
  <si>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</si>
  <si>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</si>
  <si>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</si>
  <si>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</si>
  <si>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</si>
  <si>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</si>
  <si>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</si>
  <si>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</si>
  <si>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</si>
  <si>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</si>
  <si>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</si>
  <si>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</si>
  <si>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</si>
  <si>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</si>
  <si>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</si>
  <si>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</si>
  <si>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</si>
  <si>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</si>
  <si>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</si>
  <si>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</si>
  <si>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</si>
  <si>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</si>
  <si>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</si>
  <si>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</si>
  <si>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</si>
  <si>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</si>
  <si>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</si>
  <si>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</si>
  <si>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</si>
  <si>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</si>
  <si>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</si>
  <si>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</si>
  <si>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</si>
  <si>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</si>
  <si>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</si>
  <si>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</si>
  <si>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</si>
  <si>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</si>
  <si>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</si>
  <si>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</si>
  <si>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</si>
  <si>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</si>
  <si>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</si>
  <si>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</si>
  <si>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</si>
  <si>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</si>
  <si>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</si>
  <si>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</si>
  <si>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</si>
  <si>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</si>
  <si>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</si>
  <si>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</si>
  <si>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</si>
  <si>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Check</t>
  </si>
  <si>
    <t>Flat</t>
  </si>
  <si>
    <t>Opening cash + Net Cash Flow</t>
  </si>
  <si>
    <t>No additional debt</t>
  </si>
  <si>
    <t>Operating taxes</t>
  </si>
  <si>
    <t>NOPAT</t>
  </si>
  <si>
    <t>Trade payables</t>
  </si>
  <si>
    <t>Investments in working capital</t>
  </si>
  <si>
    <t>Investments in other assets/liabilities</t>
  </si>
  <si>
    <t>Capex</t>
  </si>
  <si>
    <t>Other investments</t>
  </si>
  <si>
    <t>Operating tax rate</t>
  </si>
  <si>
    <t>UFCF</t>
  </si>
  <si>
    <t>1)</t>
  </si>
  <si>
    <t>2)</t>
  </si>
  <si>
    <t>3)</t>
  </si>
  <si>
    <t>4)</t>
  </si>
  <si>
    <t>5)</t>
  </si>
  <si>
    <t>6)</t>
  </si>
  <si>
    <t>Delta Oper taxes vs. Taxes</t>
  </si>
  <si>
    <t>Delta Financial liabilities</t>
  </si>
  <si>
    <t>Delta Equity incl. dividends</t>
  </si>
  <si>
    <t>Net Cash Flow</t>
  </si>
  <si>
    <t>7)</t>
  </si>
  <si>
    <t>8)</t>
  </si>
  <si>
    <t>9)</t>
  </si>
  <si>
    <t>10)</t>
  </si>
  <si>
    <t>1)+ 2)+ 3)+ 4)+ 5)+ 6)+ 7)+ 8)+ 9)+ 10)</t>
  </si>
  <si>
    <t>1) + 2) + 3) + 4) + 5) + 6)</t>
  </si>
  <si>
    <t>BS, P&amp;L</t>
  </si>
  <si>
    <t>Opening cash</t>
  </si>
  <si>
    <t>Closing cash</t>
  </si>
  <si>
    <t>WACC</t>
  </si>
  <si>
    <t>g</t>
  </si>
  <si>
    <t>Add-back D&amp;A</t>
  </si>
  <si>
    <t>Gross Cash 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</si>
</sst>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9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67" fontId="65" fillId="2" borderId="0" xfId="0" applyNumberFormat="1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11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9" fontId="8" fillId="3" borderId="0" xfId="2" applyNumberFormat="1" applyFont="1" applyFill="1"/>
    <xf numFmtId="169" fontId="8" fillId="3" borderId="0" xfId="0" applyNumberFormat="1" applyFont="1" applyFill="1"/>
    <xf numFmtId="166" fontId="11" fillId="4" borderId="0" xfId="0" applyNumberFormat="1" applyFont="1" applyFill="1" applyBorder="1"/>
    <xf numFmtId="168" fontId="11" fillId="4" borderId="0" xfId="0" applyNumberFormat="1" applyFont="1" applyFill="1" applyBorder="1"/>
    <xf numFmtId="166" fontId="6" fillId="2" borderId="19" xfId="0" applyNumberFormat="1" applyFont="1" applyFill="1" applyBorder="1"/>
    <xf numFmtId="168" fontId="6" fillId="2" borderId="19" xfId="0" applyNumberFormat="1" applyFont="1" applyFill="1" applyBorder="1"/>
    <xf numFmtId="166" fontId="12" fillId="2" borderId="19" xfId="0" applyNumberFormat="1" applyFont="1" applyFill="1" applyBorder="1"/>
    <xf numFmtId="168" fontId="1" fillId="3" borderId="19" xfId="0" applyNumberFormat="1" applyFont="1" applyFill="1" applyBorder="1"/>
    <xf numFmtId="170" fontId="1" fillId="3" borderId="0" xfId="0" applyNumberFormat="1" applyFont="1" applyFill="1" applyBorder="1"/>
    <xf numFmtId="166" fontId="6" fillId="2" borderId="20" xfId="0" applyNumberFormat="1" applyFont="1" applyFill="1" applyBorder="1"/>
    <xf numFmtId="168" fontId="6" fillId="2" borderId="20" xfId="0" applyNumberFormat="1" applyFont="1" applyFill="1" applyBorder="1"/>
    <xf numFmtId="168" fontId="1" fillId="2" borderId="20" xfId="0" applyNumberFormat="1" applyFont="1" applyFill="1" applyBorder="1"/>
    <xf numFmtId="168" fontId="6" fillId="3" borderId="20" xfId="0" applyNumberFormat="1" applyFont="1" applyFill="1" applyBorder="1"/>
    <xf numFmtId="168" fontId="12" fillId="2" borderId="19" xfId="0" applyNumberFormat="1" applyFont="1" applyFill="1" applyBorder="1"/>
    <xf numFmtId="168" fontId="6" fillId="3" borderId="19" xfId="0" applyNumberFormat="1" applyFont="1" applyFill="1" applyBorder="1"/>
    <xf numFmtId="167" fontId="9" fillId="48" borderId="0" xfId="0" applyNumberFormat="1" applyFont="1" applyFill="1" applyBorder="1"/>
    <xf numFmtId="171" fontId="9" fillId="48" borderId="0" xfId="0" applyNumberFormat="1" applyFont="1" applyFill="1" applyBorder="1"/>
    <xf numFmtId="167" fontId="9" fillId="48" borderId="0" xfId="0" applyNumberFormat="1" applyFont="1" applyFill="1"/>
    <xf numFmtId="182" fontId="9" fillId="48" borderId="0" xfId="3" applyNumberFormat="1" applyFont="1" applyFill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65" t="s">
        <v>26</v>
      </c>
    </row>
    <row r="7" spans="2:3">
      <c r="B7" s="29">
        <f t="shared" ref="B7:B21" si="0">B6+1</f>
        <v>3</v>
      </c>
      <c r="C7" s="65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65" t="s">
        <v>6</v>
      </c>
    </row>
    <row r="10" spans="2:3">
      <c r="B10" s="29">
        <f t="shared" si="0"/>
        <v>6</v>
      </c>
      <c r="C10" s="65" t="s">
        <v>25</v>
      </c>
    </row>
    <row r="11" spans="2:3">
      <c r="B11" s="29">
        <f t="shared" si="0"/>
        <v>7</v>
      </c>
      <c r="C11" s="65" t="s">
        <v>28</v>
      </c>
    </row>
    <row r="12" spans="2:3">
      <c r="B12" s="29">
        <f t="shared" si="0"/>
        <v>8</v>
      </c>
      <c r="C12" s="65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65" t="s">
        <v>72</v>
      </c>
    </row>
    <row r="15" spans="2:3">
      <c r="B15" s="29">
        <f t="shared" si="0"/>
        <v>11</v>
      </c>
      <c r="C15" s="65" t="s">
        <v>69</v>
      </c>
    </row>
    <row r="16" spans="2:3">
      <c r="B16" s="29">
        <f t="shared" si="0"/>
        <v>12</v>
      </c>
      <c r="C16" s="65" t="s">
        <v>73</v>
      </c>
    </row>
    <row r="17" spans="2:3">
      <c r="B17" s="29">
        <f t="shared" si="0"/>
        <v>13</v>
      </c>
      <c r="C17" s="65" t="s">
        <v>74</v>
      </c>
    </row>
    <row r="18" spans="2:3">
      <c r="B18" s="29">
        <f t="shared" si="0"/>
        <v>14</v>
      </c>
      <c r="C18" s="65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65" t="s">
        <v>1</v>
      </c>
    </row>
    <row r="21" spans="2:3">
      <c r="B21" s="29">
        <f t="shared" si="0"/>
        <v>17</v>
      </c>
      <c r="C21" s="65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39" activePane="bottomLeft" state="frozen"/>
      <selection pane="bottomLeft" activeCell="P56" sqref="P56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69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0"/>
      <c r="D11" s="70"/>
      <c r="E11" s="70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0"/>
      <c r="D12" s="70"/>
      <c r="E12" s="70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0"/>
      <c r="D13" s="70"/>
      <c r="E13" s="70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0"/>
      <c r="D17" s="70"/>
      <c r="E17" s="70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0"/>
      <c r="D18" s="70"/>
      <c r="E18" s="70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0"/>
      <c r="D19" s="70"/>
      <c r="E19" s="70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0"/>
      <c r="D23" s="70"/>
      <c r="E23" s="70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0"/>
      <c r="D24" s="70"/>
      <c r="E24" s="70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0"/>
      <c r="D25" s="70"/>
      <c r="E25" s="70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0"/>
      <c r="D29" s="70"/>
      <c r="E29" s="70"/>
      <c r="G29" s="71">
        <v>-0.1</v>
      </c>
      <c r="H29" s="71">
        <v>-0.1</v>
      </c>
      <c r="I29" s="71">
        <v>-0.1</v>
      </c>
      <c r="J29" s="71">
        <v>-0.1</v>
      </c>
      <c r="K29" s="71">
        <v>-0.1</v>
      </c>
    </row>
    <row r="30" spans="2:11" ht="12" customHeight="1">
      <c r="B30" s="7" t="s">
        <v>89</v>
      </c>
      <c r="C30" s="70"/>
      <c r="D30" s="70"/>
      <c r="E30" s="70"/>
      <c r="G30" s="71">
        <v>-0.105</v>
      </c>
      <c r="H30" s="71">
        <v>-0.105</v>
      </c>
      <c r="I30" s="71">
        <v>-0.105</v>
      </c>
      <c r="J30" s="71">
        <v>-0.105</v>
      </c>
      <c r="K30" s="71">
        <v>-0.105</v>
      </c>
    </row>
    <row r="31" spans="2:11" ht="12" customHeight="1">
      <c r="B31" s="7" t="s">
        <v>90</v>
      </c>
      <c r="C31" s="70"/>
      <c r="D31" s="70"/>
      <c r="E31" s="70"/>
      <c r="G31" s="71">
        <v>-0.11</v>
      </c>
      <c r="H31" s="71">
        <v>-0.11</v>
      </c>
      <c r="I31" s="71">
        <v>-0.11</v>
      </c>
      <c r="J31" s="71">
        <v>-0.11</v>
      </c>
      <c r="K31" s="71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0"/>
      <c r="D35" s="70"/>
      <c r="E35" s="70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0"/>
      <c r="D36" s="70"/>
      <c r="E36" s="70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0"/>
      <c r="D37" s="70"/>
      <c r="E37" s="70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103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0"/>
      <c r="D41" s="70"/>
      <c r="E41" s="70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0"/>
      <c r="D42" s="70"/>
      <c r="E42" s="70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0"/>
      <c r="D43" s="70"/>
      <c r="E43" s="70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104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0"/>
      <c r="D47" s="70"/>
      <c r="E47" s="70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0"/>
      <c r="D48" s="70"/>
      <c r="E48" s="70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0"/>
      <c r="D49" s="70"/>
      <c r="E49" s="70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95</v>
      </c>
      <c r="C52" s="25">
        <f>'P&amp;L'!C22</f>
        <v>-0.24048168928931246</v>
      </c>
      <c r="D52" s="25">
        <f>'P&amp;L'!D22</f>
        <v>-0.22579069143565386</v>
      </c>
      <c r="E52" s="25">
        <f>'P&amp;L'!E22</f>
        <v>-0.18936134430001206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0"/>
      <c r="D53" s="70"/>
      <c r="E53" s="70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0"/>
      <c r="D54" s="70"/>
      <c r="E54" s="70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0"/>
      <c r="D55" s="70"/>
      <c r="E55" s="70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I29" sqref="I2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96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98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99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100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97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2">
        <f>AVERAGE($C15:$E15)</f>
        <v>0.26133219592352436</v>
      </c>
      <c r="H15" s="72">
        <f t="shared" ref="H15:K15" si="3">AVERAGE($C15:$E15)</f>
        <v>0.26133219592352436</v>
      </c>
      <c r="I15" s="72">
        <f t="shared" si="3"/>
        <v>0.26133219592352436</v>
      </c>
      <c r="J15" s="72">
        <f t="shared" si="3"/>
        <v>0.26133219592352436</v>
      </c>
      <c r="K15" s="72">
        <f t="shared" si="3"/>
        <v>0.26133219592352436</v>
      </c>
    </row>
    <row r="16" spans="2:11">
      <c r="C16" s="13"/>
      <c r="D16" s="13"/>
      <c r="E16" s="13"/>
      <c r="G16" s="73"/>
      <c r="H16" s="73"/>
      <c r="I16" s="73"/>
      <c r="J16" s="73"/>
      <c r="K16" s="73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97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2">
        <f>AVERAGE($C18:$E18)</f>
        <v>6.4866273263650964E-2</v>
      </c>
      <c r="H18" s="72">
        <f t="shared" ref="H18:K18" si="4">AVERAGE($C18:$E18)</f>
        <v>6.4866273263650964E-2</v>
      </c>
      <c r="I18" s="72">
        <f t="shared" si="4"/>
        <v>6.4866273263650964E-2</v>
      </c>
      <c r="J18" s="72">
        <f t="shared" si="4"/>
        <v>6.4866273263650964E-2</v>
      </c>
      <c r="K18" s="72">
        <f t="shared" si="4"/>
        <v>6.4866273263650964E-2</v>
      </c>
    </row>
    <row r="19" spans="2:11">
      <c r="C19" s="13"/>
      <c r="D19" s="13"/>
      <c r="E19" s="13"/>
      <c r="G19" s="73"/>
      <c r="H19" s="73"/>
      <c r="I19" s="73"/>
      <c r="J19" s="73"/>
      <c r="K19" s="73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97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2">
        <f>AVERAGE($C21:$E21)</f>
        <v>3.5034261583131034E-2</v>
      </c>
      <c r="H21" s="72">
        <f t="shared" ref="H21:K21" si="5">AVERAGE($C21:$E21)</f>
        <v>3.5034261583131034E-2</v>
      </c>
      <c r="I21" s="72">
        <f t="shared" si="5"/>
        <v>3.5034261583131034E-2</v>
      </c>
      <c r="J21" s="72">
        <f t="shared" si="5"/>
        <v>3.5034261583131034E-2</v>
      </c>
      <c r="K21" s="72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H1" sqref="H1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B4" s="7" t="s">
        <v>86</v>
      </c>
      <c r="C4" s="13">
        <f>+SUMIF('P&amp;L assumptions'!$B:$B,'P&amp;L'!$B4,'P&amp;L assumptions'!C:C)</f>
        <v>177203</v>
      </c>
      <c r="D4" s="13">
        <f>+SUMIF('P&amp;L assumptions'!$B:$B,'P&amp;L'!$B4,'P&amp;L assumptions'!D:D)</f>
        <v>188618</v>
      </c>
      <c r="E4" s="13">
        <f>+SUMIF('P&amp;L assumptions'!$B:$B,'P&amp;L'!$B4,'P&amp;L assumptions'!E:E)</f>
        <v>208366</v>
      </c>
      <c r="G4" s="28">
        <f>+SUMIF('P&amp;L assumptions'!$B:$B,'P&amp;L'!$B4,'P&amp;L assumptions'!G:G)</f>
        <v>229202.6</v>
      </c>
      <c r="H4" s="28">
        <f>+SUMIF('P&amp;L assumptions'!$B:$B,'P&amp;L'!$B4,'P&amp;L assumptions'!H:H)</f>
        <v>252122.86000000002</v>
      </c>
      <c r="I4" s="28">
        <f>+SUMIF('P&amp;L assumptions'!$B:$B,'P&amp;L'!$B4,'P&amp;L assumptions'!I:I)</f>
        <v>277335.14600000007</v>
      </c>
      <c r="J4" s="28">
        <f>+SUMIF('P&amp;L assumptions'!$B:$B,'P&amp;L'!$B4,'P&amp;L assumptions'!J:J)</f>
        <v>305068.66060000012</v>
      </c>
      <c r="K4" s="28">
        <f>+SUMIF('P&amp;L assumptions'!$B:$B,'P&amp;L'!$B4,'P&amp;L assumptions'!K:K)</f>
        <v>335575.52666000015</v>
      </c>
    </row>
    <row r="5" spans="2:17">
      <c r="B5" s="21" t="s">
        <v>91</v>
      </c>
      <c r="C5" s="38">
        <f>+SUMIF('P&amp;L assumptions'!$B:$B,'P&amp;L'!$B5,'P&amp;L assumptions'!C:C)</f>
        <v>3520</v>
      </c>
      <c r="D5" s="38">
        <f>+SUMIF('P&amp;L assumptions'!$B:$B,'P&amp;L'!$B5,'P&amp;L assumptions'!D:D)</f>
        <v>2416</v>
      </c>
      <c r="E5" s="38">
        <f>+SUMIF('P&amp;L assumptions'!$B:$B,'P&amp;L'!$B5,'P&amp;L assumptions'!E:E)</f>
        <v>2585</v>
      </c>
      <c r="F5" s="21"/>
      <c r="G5" s="28">
        <f>+SUMIF('P&amp;L assumptions'!$B:$B,'P&amp;L'!$B5,'P&amp;L assumptions'!G:G)</f>
        <v>2585</v>
      </c>
      <c r="H5" s="28">
        <f>+SUMIF('P&amp;L assumptions'!$B:$B,'P&amp;L'!$B5,'P&amp;L assumptions'!H:H)</f>
        <v>2585</v>
      </c>
      <c r="I5" s="28">
        <f>+SUMIF('P&amp;L assumptions'!$B:$B,'P&amp;L'!$B5,'P&amp;L assumptions'!I:I)</f>
        <v>2585</v>
      </c>
      <c r="J5" s="28">
        <f>+SUMIF('P&amp;L assumptions'!$B:$B,'P&amp;L'!$B5,'P&amp;L assumptions'!J:J)</f>
        <v>2585</v>
      </c>
      <c r="K5" s="28">
        <f>+SUMIF('P&amp;L assumptions'!$B:$B,'P&amp;L'!$B5,'P&amp;L assumptions'!K:K)</f>
        <v>2585</v>
      </c>
      <c r="L5" s="21"/>
      <c r="N5" s="21"/>
      <c r="O5" s="21"/>
      <c r="P5" s="21"/>
      <c r="Q5" s="21"/>
    </row>
    <row r="6" spans="2:17">
      <c r="B6" s="76" t="s">
        <v>101</v>
      </c>
      <c r="C6" s="77">
        <f>+C4+C5</f>
        <v>180723</v>
      </c>
      <c r="D6" s="77">
        <f>+D4+D5</f>
        <v>191034</v>
      </c>
      <c r="E6" s="77">
        <f>+E4+E5</f>
        <v>210951</v>
      </c>
      <c r="F6" s="78"/>
      <c r="G6" s="79">
        <f t="shared" ref="G6:K6" si="0">+G4+G5</f>
        <v>231787.6</v>
      </c>
      <c r="H6" s="79">
        <f t="shared" si="0"/>
        <v>254707.86000000002</v>
      </c>
      <c r="I6" s="79">
        <f t="shared" si="0"/>
        <v>279920.14600000007</v>
      </c>
      <c r="J6" s="79">
        <f t="shared" si="0"/>
        <v>307653.66060000012</v>
      </c>
      <c r="K6" s="79">
        <f t="shared" si="0"/>
        <v>338160.52666000015</v>
      </c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92</v>
      </c>
      <c r="C8" s="38">
        <f>+SUMIF('P&amp;L assumptions'!$B:$B,'P&amp;L'!$B8,'P&amp;L assumptions'!C:C)</f>
        <v>-142394.36746666671</v>
      </c>
      <c r="D8" s="38">
        <f>+SUMIF('P&amp;L assumptions'!$B:$B,'P&amp;L'!$B8,'P&amp;L assumptions'!D:D)</f>
        <v>-150572.16639999999</v>
      </c>
      <c r="E8" s="38">
        <f>+SUMIF('P&amp;L assumptions'!$B:$B,'P&amp;L'!$B8,'P&amp;L assumptions'!E:E)</f>
        <v>-157523.118425397</v>
      </c>
      <c r="F8" s="21"/>
      <c r="G8" s="28">
        <f>+SUMIF('P&amp;L assumptions'!$B:$B,'P&amp;L'!$B8,'P&amp;L assumptions'!G:G)</f>
        <v>-174193.976</v>
      </c>
      <c r="H8" s="28">
        <f>+SUMIF('P&amp;L assumptions'!$B:$B,'P&amp;L'!$B8,'P&amp;L assumptions'!H:H)</f>
        <v>-191613.37360000002</v>
      </c>
      <c r="I8" s="28">
        <f>+SUMIF('P&amp;L assumptions'!$B:$B,'P&amp;L'!$B8,'P&amp;L assumptions'!I:I)</f>
        <v>-210774.71096000005</v>
      </c>
      <c r="J8" s="28">
        <f>+SUMIF('P&amp;L assumptions'!$B:$B,'P&amp;L'!$B8,'P&amp;L assumptions'!J:J)</f>
        <v>-231852.18205600011</v>
      </c>
      <c r="K8" s="28">
        <f>+SUMIF('P&amp;L assumptions'!$B:$B,'P&amp;L'!$B8,'P&amp;L assumptions'!K:K)</f>
        <v>-255037.40026160012</v>
      </c>
      <c r="L8" s="21"/>
      <c r="N8" s="21"/>
      <c r="O8" s="21"/>
      <c r="P8" s="21"/>
      <c r="Q8" s="21"/>
    </row>
    <row r="9" spans="2:17">
      <c r="B9" s="76" t="s">
        <v>102</v>
      </c>
      <c r="C9" s="77">
        <f>+C6+C8</f>
        <v>38328.632533333293</v>
      </c>
      <c r="D9" s="77">
        <f>+D6+D8</f>
        <v>40461.833600000013</v>
      </c>
      <c r="E9" s="77">
        <f>+E6+E8</f>
        <v>53427.881574603001</v>
      </c>
      <c r="F9" s="78"/>
      <c r="G9" s="79">
        <f t="shared" ref="G9:K9" si="1">+G6+G8</f>
        <v>57593.624000000011</v>
      </c>
      <c r="H9" s="79">
        <f t="shared" si="1"/>
        <v>63094.486399999994</v>
      </c>
      <c r="I9" s="79">
        <f t="shared" si="1"/>
        <v>69145.435040000011</v>
      </c>
      <c r="J9" s="79">
        <f t="shared" si="1"/>
        <v>75801.478544000012</v>
      </c>
      <c r="K9" s="79">
        <f t="shared" si="1"/>
        <v>83123.126398400025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94</v>
      </c>
      <c r="C11" s="38">
        <f>+SUMIF('P&amp;L assumptions'!$B:$B,'P&amp;L'!$B11,'P&amp;L assumptions'!C:C)</f>
        <v>-18011.315200000005</v>
      </c>
      <c r="D11" s="38">
        <f>+SUMIF('P&amp;L assumptions'!$B:$B,'P&amp;L'!$B11,'P&amp;L assumptions'!D:D)</f>
        <v>-19247.897599999997</v>
      </c>
      <c r="E11" s="38">
        <f>+SUMIF('P&amp;L assumptions'!$B:$B,'P&amp;L'!$B11,'P&amp;L assumptions'!E:E)</f>
        <v>-23867.008000000009</v>
      </c>
      <c r="F11" s="38"/>
      <c r="G11" s="28">
        <f>+SUMIF('P&amp;L assumptions'!$B:$B,'P&amp;L'!$B11,'P&amp;L assumptions'!G:G)</f>
        <v>-22920.260000000002</v>
      </c>
      <c r="H11" s="28">
        <f>+SUMIF('P&amp;L assumptions'!$B:$B,'P&amp;L'!$B11,'P&amp;L assumptions'!H:H)</f>
        <v>-25212.286000000004</v>
      </c>
      <c r="I11" s="28">
        <f>+SUMIF('P&amp;L assumptions'!$B:$B,'P&amp;L'!$B11,'P&amp;L assumptions'!I:I)</f>
        <v>-27733.51460000001</v>
      </c>
      <c r="J11" s="28">
        <f>+SUMIF('P&amp;L assumptions'!$B:$B,'P&amp;L'!$B11,'P&amp;L assumptions'!J:J)</f>
        <v>-30506.866060000015</v>
      </c>
      <c r="K11" s="28">
        <f>+SUMIF('P&amp;L assumptions'!$B:$B,'P&amp;L'!$B11,'P&amp;L assumptions'!K:K)</f>
        <v>-33557.552666000018</v>
      </c>
      <c r="L11" s="21"/>
      <c r="N11" s="21"/>
      <c r="O11" s="21"/>
      <c r="P11" s="21"/>
      <c r="Q11" s="21"/>
    </row>
    <row r="12" spans="2:17">
      <c r="B12" s="76" t="s">
        <v>14</v>
      </c>
      <c r="C12" s="77">
        <f>+C9+C11</f>
        <v>20317.317333333289</v>
      </c>
      <c r="D12" s="77">
        <f>+D9+D11</f>
        <v>21213.936000000016</v>
      </c>
      <c r="E12" s="77">
        <f>+E9+E11</f>
        <v>29560.873574602992</v>
      </c>
      <c r="F12" s="78"/>
      <c r="G12" s="79">
        <f t="shared" ref="G12:K12" si="2">+G9+G11</f>
        <v>34673.364000000009</v>
      </c>
      <c r="H12" s="79">
        <f t="shared" si="2"/>
        <v>37882.200399999987</v>
      </c>
      <c r="I12" s="79">
        <f t="shared" si="2"/>
        <v>41411.920440000002</v>
      </c>
      <c r="J12" s="79">
        <f t="shared" si="2"/>
        <v>45294.612483999997</v>
      </c>
      <c r="K12" s="79">
        <f t="shared" si="2"/>
        <v>49565.573732400007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15</v>
      </c>
      <c r="C14" s="38">
        <f>+SUMIF('P&amp;L assumptions'!$B:$B,'P&amp;L'!$B14,'P&amp;L assumptions'!C:C)</f>
        <v>-2907.8000000000006</v>
      </c>
      <c r="D14" s="38">
        <f>+SUMIF('P&amp;L assumptions'!$B:$B,'P&amp;L'!$B14,'P&amp;L assumptions'!D:D)</f>
        <v>-4649.8</v>
      </c>
      <c r="E14" s="38">
        <f>+SUMIF('P&amp;L assumptions'!$B:$B,'P&amp;L'!$B14,'P&amp;L assumptions'!E:E)</f>
        <v>-6430.6600000000008</v>
      </c>
      <c r="F14" s="38"/>
      <c r="G14" s="28">
        <f>+SUMIF('P&amp;L assumptions'!$B:$B,'P&amp;L'!$B14,'P&amp;L assumptions'!G:G)</f>
        <v>-4584.0520000000006</v>
      </c>
      <c r="H14" s="28">
        <f>+SUMIF('P&amp;L assumptions'!$B:$B,'P&amp;L'!$B14,'P&amp;L assumptions'!H:H)</f>
        <v>-5042.4572000000007</v>
      </c>
      <c r="I14" s="28">
        <f>+SUMIF('P&amp;L assumptions'!$B:$B,'P&amp;L'!$B14,'P&amp;L assumptions'!I:I)</f>
        <v>-5546.7029200000015</v>
      </c>
      <c r="J14" s="28">
        <f>+SUMIF('P&amp;L assumptions'!$B:$B,'P&amp;L'!$B14,'P&amp;L assumptions'!J:J)</f>
        <v>-6101.3732120000022</v>
      </c>
      <c r="K14" s="28">
        <f>+SUMIF('P&amp;L assumptions'!$B:$B,'P&amp;L'!$B14,'P&amp;L assumptions'!K:K)</f>
        <v>-6711.510533200003</v>
      </c>
      <c r="L14" s="21"/>
      <c r="N14" s="21"/>
      <c r="O14" s="21"/>
      <c r="P14" s="21"/>
      <c r="Q14" s="21"/>
    </row>
    <row r="15" spans="2:17">
      <c r="B15" s="76" t="s">
        <v>16</v>
      </c>
      <c r="C15" s="77">
        <f>+C12+C14</f>
        <v>17409.51733333329</v>
      </c>
      <c r="D15" s="77">
        <f>+D12+D14</f>
        <v>16564.136000000017</v>
      </c>
      <c r="E15" s="77">
        <f>+E12+E14</f>
        <v>23130.213574602993</v>
      </c>
      <c r="F15" s="78"/>
      <c r="G15" s="79">
        <f t="shared" ref="G15:K15" si="3">+G12+G14</f>
        <v>30089.312000000009</v>
      </c>
      <c r="H15" s="79">
        <f t="shared" si="3"/>
        <v>32839.743199999983</v>
      </c>
      <c r="I15" s="79">
        <f t="shared" si="3"/>
        <v>35865.217519999998</v>
      </c>
      <c r="J15" s="79">
        <f t="shared" si="3"/>
        <v>39193.239271999992</v>
      </c>
      <c r="K15" s="79">
        <f t="shared" si="3"/>
        <v>42854.063199200005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103</v>
      </c>
      <c r="C17" s="38">
        <f>+SUMIF('P&amp;L assumptions'!$B:$B,'P&amp;L'!$B17,'P&amp;L assumptions'!C:C)</f>
        <v>-1266.3000000000002</v>
      </c>
      <c r="D17" s="38">
        <f>+SUMIF('P&amp;L assumptions'!$B:$B,'P&amp;L'!$B17,'P&amp;L assumptions'!D:D)</f>
        <v>-2190.9</v>
      </c>
      <c r="E17" s="38">
        <f>+SUMIF('P&amp;L assumptions'!$B:$B,'P&amp;L'!$B17,'P&amp;L assumptions'!E:E)</f>
        <v>-2663.92</v>
      </c>
      <c r="F17" s="38"/>
      <c r="G17" s="28">
        <f>+SUMIF('P&amp;L assumptions'!$B:$B,'P&amp;L'!$B17,'P&amp;L assumptions'!G:G)</f>
        <v>-2663.92</v>
      </c>
      <c r="H17" s="28">
        <f>+SUMIF('P&amp;L assumptions'!$B:$B,'P&amp;L'!$B17,'P&amp;L assumptions'!H:H)</f>
        <v>-2663.92</v>
      </c>
      <c r="I17" s="28">
        <f>+SUMIF('P&amp;L assumptions'!$B:$B,'P&amp;L'!$B17,'P&amp;L assumptions'!I:I)</f>
        <v>-2663.92</v>
      </c>
      <c r="J17" s="28">
        <f>+SUMIF('P&amp;L assumptions'!$B:$B,'P&amp;L'!$B17,'P&amp;L assumptions'!J:J)</f>
        <v>-2663.92</v>
      </c>
      <c r="K17" s="28">
        <f>+SUMIF('P&amp;L assumptions'!$B:$B,'P&amp;L'!$B17,'P&amp;L assumptions'!K:K)</f>
        <v>-2663.92</v>
      </c>
      <c r="L17" s="21"/>
      <c r="N17" s="21"/>
      <c r="O17" s="21"/>
      <c r="P17" s="21"/>
      <c r="Q17" s="21"/>
    </row>
    <row r="18" spans="2:17" ht="12" customHeight="1">
      <c r="B18" s="21" t="s">
        <v>104</v>
      </c>
      <c r="C18" s="38">
        <f>+SUMIF('P&amp;L assumptions'!$B:$B,'P&amp;L'!$B18,'P&amp;L assumptions'!C:C)</f>
        <v>-317.58000000000004</v>
      </c>
      <c r="D18" s="38">
        <f>+SUMIF('P&amp;L assumptions'!$B:$B,'P&amp;L'!$B18,'P&amp;L assumptions'!D:D)</f>
        <v>-864.30000000000007</v>
      </c>
      <c r="E18" s="38">
        <f>+SUMIF('P&amp;L assumptions'!$B:$B,'P&amp;L'!$B18,'P&amp;L assumptions'!E:E)</f>
        <v>-320.26</v>
      </c>
      <c r="F18" s="38"/>
      <c r="G18" s="28">
        <f>+SUMIF('P&amp;L assumptions'!$B:$B,'P&amp;L'!$B18,'P&amp;L assumptions'!G:G)</f>
        <v>0</v>
      </c>
      <c r="H18" s="28">
        <f>+SUMIF('P&amp;L assumptions'!$B:$B,'P&amp;L'!$B18,'P&amp;L assumptions'!H:H)</f>
        <v>0</v>
      </c>
      <c r="I18" s="28">
        <f>+SUMIF('P&amp;L assumptions'!$B:$B,'P&amp;L'!$B18,'P&amp;L assumptions'!I:I)</f>
        <v>0</v>
      </c>
      <c r="J18" s="28">
        <f>+SUMIF('P&amp;L assumptions'!$B:$B,'P&amp;L'!$B18,'P&amp;L assumptions'!J:J)</f>
        <v>0</v>
      </c>
      <c r="K18" s="28">
        <f>+SUMIF('P&amp;L assumptions'!$B:$B,'P&amp;L'!$B18,'P&amp;L assumptions'!K:K)</f>
        <v>0</v>
      </c>
      <c r="L18" s="21"/>
      <c r="N18" s="21"/>
      <c r="O18" s="21"/>
      <c r="P18" s="21"/>
      <c r="Q18" s="21"/>
    </row>
    <row r="19" spans="2:17" ht="12" customHeight="1">
      <c r="B19" s="76" t="s">
        <v>19</v>
      </c>
      <c r="C19" s="77">
        <f>+C15+C17+C18</f>
        <v>15825.63733333329</v>
      </c>
      <c r="D19" s="77">
        <f>+D15+D17+D18</f>
        <v>13508.936000000018</v>
      </c>
      <c r="E19" s="77">
        <f>+E15+E17+E18</f>
        <v>20146.033574602992</v>
      </c>
      <c r="F19" s="78"/>
      <c r="G19" s="79">
        <f t="shared" ref="G19:K19" si="4">+G15+G17+G18</f>
        <v>27425.392000000007</v>
      </c>
      <c r="H19" s="79">
        <f t="shared" si="4"/>
        <v>30175.823199999984</v>
      </c>
      <c r="I19" s="79">
        <f t="shared" si="4"/>
        <v>33201.29752</v>
      </c>
      <c r="J19" s="79">
        <f t="shared" si="4"/>
        <v>36529.319271999993</v>
      </c>
      <c r="K19" s="79">
        <f t="shared" si="4"/>
        <v>40190.143199200007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23</v>
      </c>
      <c r="C21" s="55">
        <f>'P&amp;L assumptions'!C51</f>
        <v>-3805.7759999999998</v>
      </c>
      <c r="D21" s="55">
        <f>'P&amp;L assumptions'!D51</f>
        <v>-3050.192</v>
      </c>
      <c r="E21" s="55">
        <f>'P&amp;L assumptions'!E51</f>
        <v>-3814.88</v>
      </c>
      <c r="F21" s="38"/>
      <c r="G21" s="80">
        <f>G22*G19</f>
        <v>-4936.570560000001</v>
      </c>
      <c r="H21" s="36">
        <f t="shared" ref="H21:K21" si="5">H22*H19</f>
        <v>-5431.648175999997</v>
      </c>
      <c r="I21" s="36">
        <f t="shared" si="5"/>
        <v>-5976.2335536000001</v>
      </c>
      <c r="J21" s="36">
        <f t="shared" si="5"/>
        <v>-6575.2774689599983</v>
      </c>
      <c r="K21" s="36">
        <f t="shared" si="5"/>
        <v>-7234.2257758560008</v>
      </c>
      <c r="L21" s="21"/>
      <c r="N21" s="21"/>
      <c r="O21" s="21"/>
      <c r="P21" s="21"/>
      <c r="Q21" s="21"/>
    </row>
    <row r="22" spans="2:17">
      <c r="B22" s="21" t="s">
        <v>105</v>
      </c>
      <c r="C22" s="39">
        <f>C21/C19</f>
        <v>-0.24048168928931246</v>
      </c>
      <c r="D22" s="39">
        <f t="shared" ref="D22:E22" si="6">D21/D19</f>
        <v>-0.22579069143565386</v>
      </c>
      <c r="E22" s="39">
        <f t="shared" si="6"/>
        <v>-0.18936134430001206</v>
      </c>
      <c r="F22" s="38"/>
      <c r="G22" s="44">
        <f>'P&amp;L assumptions'!G52</f>
        <v>-0.18</v>
      </c>
      <c r="H22" s="44">
        <f>'P&amp;L assumptions'!H52</f>
        <v>-0.18</v>
      </c>
      <c r="I22" s="44">
        <f>'P&amp;L assumptions'!I52</f>
        <v>-0.18</v>
      </c>
      <c r="J22" s="44">
        <f>'P&amp;L assumptions'!J52</f>
        <v>-0.18</v>
      </c>
      <c r="K22" s="44">
        <f>'P&amp;L assumptions'!K52</f>
        <v>-0.18</v>
      </c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>
      <c r="B24" s="74" t="s">
        <v>24</v>
      </c>
      <c r="C24" s="75">
        <f>+C19+C21</f>
        <v>12019.861333333291</v>
      </c>
      <c r="D24" s="75">
        <f>+D19+D21</f>
        <v>10458.744000000017</v>
      </c>
      <c r="E24" s="75">
        <f>+E19+E21</f>
        <v>16331.153574602991</v>
      </c>
      <c r="F24" s="75"/>
      <c r="G24" s="75">
        <f t="shared" ref="G24:K24" si="7">+G19+G21</f>
        <v>22488.821440000007</v>
      </c>
      <c r="H24" s="75">
        <f t="shared" si="7"/>
        <v>24744.175023999989</v>
      </c>
      <c r="I24" s="75">
        <f t="shared" si="7"/>
        <v>27225.063966400001</v>
      </c>
      <c r="J24" s="75">
        <f t="shared" si="7"/>
        <v>29954.041803039996</v>
      </c>
      <c r="K24" s="75">
        <f t="shared" si="7"/>
        <v>32955.917423344006</v>
      </c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 t="s">
        <v>106</v>
      </c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6"/>
  <sheetViews>
    <sheetView workbookViewId="0">
      <selection activeCell="G26" sqref="G26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7" width="9.5703125" style="7" bestFit="1" customWidth="1"/>
    <col min="8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B4" s="7" t="s">
        <v>29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8">
        <f>$E$4</f>
        <v>5650</v>
      </c>
      <c r="H4" s="28">
        <f t="shared" ref="H4:K4" si="0">$E$4</f>
        <v>5650</v>
      </c>
      <c r="I4" s="28">
        <f t="shared" si="0"/>
        <v>5650</v>
      </c>
      <c r="J4" s="28">
        <f t="shared" si="0"/>
        <v>5650</v>
      </c>
      <c r="K4" s="28">
        <f t="shared" si="0"/>
        <v>5650</v>
      </c>
      <c r="M4" s="7" t="s">
        <v>111</v>
      </c>
    </row>
    <row r="5" spans="2:13">
      <c r="B5" s="7" t="s">
        <v>43</v>
      </c>
      <c r="C5" s="13">
        <f>+SUMIF('BS assumptions'!$B:$B,BS!$B5,'BS assumptions'!C:C)</f>
        <v>45106.400000000001</v>
      </c>
      <c r="D5" s="13">
        <f>+SUMIF('BS assumptions'!$B:$B,BS!$B5,'BS assumptions'!D:D)</f>
        <v>49072.4</v>
      </c>
      <c r="E5" s="13">
        <f>+SUMIF('BS assumptions'!$B:$B,BS!$B5,'BS assumptions'!E:E)</f>
        <v>56109.2</v>
      </c>
      <c r="G5" s="28">
        <f>+SUMIF('BS assumptions'!$B:$B,BS!$B5,'BS assumptions'!G:G)</f>
        <v>59898.018769381182</v>
      </c>
      <c r="H5" s="28">
        <f>+SUMIF('BS assumptions'!$B:$B,BS!$B5,'BS assumptions'!H:H)</f>
        <v>65887.820646319306</v>
      </c>
      <c r="I5" s="28">
        <f>+SUMIF('BS assumptions'!$B:$B,BS!$B5,'BS assumptions'!I:I)</f>
        <v>72476.602710951251</v>
      </c>
      <c r="J5" s="28">
        <f>+SUMIF('BS assumptions'!$B:$B,BS!$B5,'BS assumptions'!J:J)</f>
        <v>79724.262982046392</v>
      </c>
      <c r="K5" s="28">
        <f>+SUMIF('BS assumptions'!$B:$B,BS!$B5,'BS assumptions'!K:K)</f>
        <v>87696.689280251027</v>
      </c>
    </row>
    <row r="6" spans="2:13">
      <c r="B6" s="7" t="s">
        <v>52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8">
        <f>$E$6</f>
        <v>10323</v>
      </c>
      <c r="H6" s="28">
        <f t="shared" ref="H6:K6" si="1">$E$6</f>
        <v>10323</v>
      </c>
      <c r="I6" s="28">
        <f t="shared" si="1"/>
        <v>10323</v>
      </c>
      <c r="J6" s="28">
        <f t="shared" si="1"/>
        <v>10323</v>
      </c>
      <c r="K6" s="28">
        <f t="shared" si="1"/>
        <v>10323</v>
      </c>
      <c r="M6" s="7" t="s">
        <v>111</v>
      </c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B8" s="7" t="s">
        <v>32</v>
      </c>
      <c r="C8" s="13">
        <f>+SUMIF('BS assumptions'!$B:$B,BS!$B8,'BS assumptions'!C:C)</f>
        <v>31167.200000000001</v>
      </c>
      <c r="D8" s="13">
        <f>+SUMIF('BS assumptions'!$B:$B,BS!$B8,'BS assumptions'!D:D)</f>
        <v>36396.800000000003</v>
      </c>
      <c r="E8" s="13">
        <f>+SUMIF('BS assumptions'!$B:$B,BS!$B8,'BS assumptions'!E:E)</f>
        <v>46212</v>
      </c>
      <c r="G8" s="28">
        <f>+SUMIF('BS assumptions'!$B:$B,BS!$B8,'BS assumptions'!G:G)</f>
        <v>51102.670511975753</v>
      </c>
      <c r="H8" s="28">
        <f>+SUMIF('BS assumptions'!$B:$B,BS!$B8,'BS assumptions'!H:H)</f>
        <v>56212.937563173342</v>
      </c>
      <c r="I8" s="28">
        <f>+SUMIF('BS assumptions'!$B:$B,BS!$B8,'BS assumptions'!I:I)</f>
        <v>61834.231319490689</v>
      </c>
      <c r="J8" s="28">
        <f>+SUMIF('BS assumptions'!$B:$B,BS!$B8,'BS assumptions'!J:J)</f>
        <v>68017.654451439768</v>
      </c>
      <c r="K8" s="28">
        <f>+SUMIF('BS assumptions'!$B:$B,BS!$B8,'BS assumptions'!K:K)</f>
        <v>74819.419896583742</v>
      </c>
    </row>
    <row r="9" spans="2:13">
      <c r="B9" s="7" t="s">
        <v>96</v>
      </c>
      <c r="C9" s="13">
        <f>+SUMIF('BS assumptions'!$B:$B,BS!$B9,'BS assumptions'!C:C)</f>
        <v>32883.599999999999</v>
      </c>
      <c r="D9" s="13">
        <f>+SUMIF('BS assumptions'!$B:$B,BS!$B9,'BS assumptions'!D:D)</f>
        <v>38556</v>
      </c>
      <c r="E9" s="13">
        <f>+SUMIF('BS assumptions'!$B:$B,BS!$B9,'BS assumptions'!E:E)</f>
        <v>43581.599999999999</v>
      </c>
      <c r="G9" s="28">
        <f>+SUMIF('BS assumptions'!$B:$B,BS!$B9,'BS assumptions'!G:G)</f>
        <v>47939.759999999995</v>
      </c>
      <c r="H9" s="28">
        <f>+SUMIF('BS assumptions'!$B:$B,BS!$B9,'BS assumptions'!H:H)</f>
        <v>52733.736000000004</v>
      </c>
      <c r="I9" s="28">
        <f>+SUMIF('BS assumptions'!$B:$B,BS!$B9,'BS assumptions'!I:I)</f>
        <v>58007.109600000011</v>
      </c>
      <c r="J9" s="28">
        <f>+SUMIF('BS assumptions'!$B:$B,BS!$B9,'BS assumptions'!J:J)</f>
        <v>63807.820560000022</v>
      </c>
      <c r="K9" s="28">
        <f>+SUMIF('BS assumptions'!$B:$B,BS!$B9,'BS assumptions'!K:K)</f>
        <v>70188.602616000018</v>
      </c>
    </row>
    <row r="10" spans="2:13">
      <c r="B10" s="7" t="s">
        <v>31</v>
      </c>
      <c r="C10" s="38">
        <f>+SUMIF('BS assumptions'!$B:$B,BS!$B10,'BS assumptions'!C:C)</f>
        <v>8841.6</v>
      </c>
      <c r="D10" s="38">
        <f>+SUMIF('BS assumptions'!$B:$B,BS!$B10,'BS assumptions'!D:D)</f>
        <v>11359.199999999999</v>
      </c>
      <c r="E10" s="38">
        <f>+SUMIF('BS assumptions'!$B:$B,BS!$B10,'BS assumptions'!E:E)</f>
        <v>17602.8</v>
      </c>
      <c r="F10" s="21"/>
      <c r="G10" s="36">
        <f>+SUMIF('BS assumptions'!$B:$B,BS!$B10,'BS assumptions'!G:G)</f>
        <v>14867.518484339287</v>
      </c>
      <c r="H10" s="36">
        <f>+SUMIF('BS assumptions'!$B:$B,BS!$B10,'BS assumptions'!H:H)</f>
        <v>16354.270332773216</v>
      </c>
      <c r="I10" s="36">
        <f>+SUMIF('BS assumptions'!$B:$B,BS!$B10,'BS assumptions'!I:I)</f>
        <v>17989.697366050539</v>
      </c>
      <c r="J10" s="36">
        <f>+SUMIF('BS assumptions'!$B:$B,BS!$B10,'BS assumptions'!J:J)</f>
        <v>19788.6671026556</v>
      </c>
      <c r="K10" s="36">
        <f>+SUMIF('BS assumptions'!$B:$B,BS!$B10,'BS assumptions'!K:K)</f>
        <v>21767.53381292116</v>
      </c>
      <c r="L10" s="21"/>
      <c r="M10" s="21"/>
    </row>
    <row r="11" spans="2:13" ht="3.75" customHeight="1"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7" t="s">
        <v>36</v>
      </c>
      <c r="C12" s="38">
        <f>'BS source'!D14</f>
        <v>11791.199999999999</v>
      </c>
      <c r="D12" s="38">
        <f>'BS source'!E14</f>
        <v>19408.8</v>
      </c>
      <c r="E12" s="38">
        <f>'BS source'!F14</f>
        <v>8173.6</v>
      </c>
      <c r="F12" s="21"/>
      <c r="G12" s="36">
        <f>E12+'Cash Flow'!G30</f>
        <v>23746.539181652883</v>
      </c>
      <c r="H12" s="36">
        <f>G12+'Cash Flow'!H30</f>
        <v>35914.870622357834</v>
      </c>
      <c r="I12" s="36">
        <f>H12+'Cash Flow'!I30</f>
        <v>49306.506647133298</v>
      </c>
      <c r="J12" s="36">
        <f>I12+'Cash Flow'!J30</f>
        <v>64043.777714386291</v>
      </c>
      <c r="K12" s="36">
        <f>J12+'Cash Flow'!K30</f>
        <v>80261.24732836464</v>
      </c>
      <c r="L12" s="21"/>
      <c r="M12" s="21" t="s">
        <v>112</v>
      </c>
    </row>
    <row r="13" spans="2:13" ht="3.75" customHeight="1"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 ht="12.75" thickBot="1">
      <c r="B14" s="81" t="s">
        <v>37</v>
      </c>
      <c r="C14" s="82">
        <f>SUM(C4:C12)</f>
        <v>144575.6</v>
      </c>
      <c r="D14" s="82">
        <f t="shared" ref="D14:E14" si="2">SUM(D4:D12)</f>
        <v>170464.2</v>
      </c>
      <c r="E14" s="82">
        <f t="shared" si="2"/>
        <v>187652.19999999998</v>
      </c>
      <c r="F14" s="83"/>
      <c r="G14" s="84">
        <f t="shared" ref="G14:K14" si="3">SUM(G4:G12)</f>
        <v>213527.50694734912</v>
      </c>
      <c r="H14" s="84">
        <f t="shared" si="3"/>
        <v>243076.63516462373</v>
      </c>
      <c r="I14" s="84">
        <f t="shared" si="3"/>
        <v>275587.14764362579</v>
      </c>
      <c r="J14" s="84">
        <f t="shared" si="3"/>
        <v>311355.18281052809</v>
      </c>
      <c r="K14" s="84">
        <f t="shared" si="3"/>
        <v>350706.49293412059</v>
      </c>
      <c r="L14" s="21"/>
      <c r="M14" s="21"/>
    </row>
    <row r="15" spans="2:13"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7" t="s">
        <v>44</v>
      </c>
      <c r="C16" s="38">
        <f>+SUMIF('BS assumptions'!$B:$B,BS!$B16,'BS assumptions'!C:C)</f>
        <v>15891.2</v>
      </c>
      <c r="D16" s="38">
        <f>+SUMIF('BS assumptions'!$B:$B,BS!$B16,'BS assumptions'!D:D)</f>
        <v>26351.599999999999</v>
      </c>
      <c r="E16" s="38">
        <f>+SUMIF('BS assumptions'!$B:$B,BS!$B16,'BS assumptions'!E:E)</f>
        <v>36189.599999999999</v>
      </c>
      <c r="F16" s="38"/>
      <c r="G16" s="36">
        <f>+SUMIF('BS assumptions'!$B:$B,BS!$B16,'BS assumptions'!G:G)</f>
        <v>40019.588088812387</v>
      </c>
      <c r="H16" s="36">
        <f>+SUMIF('BS assumptions'!$B:$B,BS!$B16,'BS assumptions'!H:H)</f>
        <v>44021.546897693624</v>
      </c>
      <c r="I16" s="36">
        <f>+SUMIF('BS assumptions'!$B:$B,BS!$B16,'BS assumptions'!I:I)</f>
        <v>48423.701587462994</v>
      </c>
      <c r="J16" s="36">
        <f>+SUMIF('BS assumptions'!$B:$B,BS!$B16,'BS assumptions'!J:J)</f>
        <v>53266.071746209302</v>
      </c>
      <c r="K16" s="36">
        <f>+SUMIF('BS assumptions'!$B:$B,BS!$B16,'BS assumptions'!K:K)</f>
        <v>58592.678920830236</v>
      </c>
      <c r="L16" s="21"/>
      <c r="M16" s="21"/>
    </row>
    <row r="17" spans="2:13">
      <c r="B17" s="7" t="s">
        <v>45</v>
      </c>
      <c r="C17" s="38">
        <f>+SUMIF('BS assumptions'!$B:$B,BS!$B17,'BS assumptions'!C:C)</f>
        <v>5969.0386666666891</v>
      </c>
      <c r="D17" s="38">
        <f>+SUMIF('BS assumptions'!$B:$B,BS!$B17,'BS assumptions'!D:D)</f>
        <v>5800.3560000000052</v>
      </c>
      <c r="E17" s="38">
        <f>+SUMIF('BS assumptions'!$B:$B,BS!$B17,'BS assumptions'!E:E)</f>
        <v>8473.4464253970418</v>
      </c>
      <c r="F17" s="38"/>
      <c r="G17" s="36">
        <f>+SUMIF('BS assumptions'!$B:$B,BS!$B17,'BS assumptions'!G:G)</f>
        <v>8029.9438439337491</v>
      </c>
      <c r="H17" s="36">
        <f>+SUMIF('BS assumptions'!$B:$B,BS!$B17,'BS assumptions'!H:H)</f>
        <v>8832.9382283271243</v>
      </c>
      <c r="I17" s="36">
        <f>+SUMIF('BS assumptions'!$B:$B,BS!$B17,'BS assumptions'!I:I)</f>
        <v>9716.2320511598391</v>
      </c>
      <c r="J17" s="36">
        <f>+SUMIF('BS assumptions'!$B:$B,BS!$B17,'BS assumptions'!J:J)</f>
        <v>10687.855256275825</v>
      </c>
      <c r="K17" s="36">
        <f>+SUMIF('BS assumptions'!$B:$B,BS!$B17,'BS assumptions'!K:K)</f>
        <v>11756.640781903407</v>
      </c>
      <c r="L17" s="21"/>
      <c r="M17" s="21"/>
    </row>
    <row r="18" spans="2:13" ht="3.75" customHeight="1"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7" t="s">
        <v>107</v>
      </c>
      <c r="C19" s="38">
        <f>'BS source'!J15+'BS source'!J16</f>
        <v>41293.000000000007</v>
      </c>
      <c r="D19" s="38">
        <f>'BS source'!K15+'BS source'!K16</f>
        <v>50645.4</v>
      </c>
      <c r="E19" s="38">
        <f>'BS source'!L15+'BS source'!L16</f>
        <v>51120.799999999996</v>
      </c>
      <c r="F19" s="38"/>
      <c r="G19" s="36">
        <f>$E$19</f>
        <v>51120.799999999996</v>
      </c>
      <c r="H19" s="36">
        <f t="shared" ref="H19:K19" si="4">$E$19</f>
        <v>51120.799999999996</v>
      </c>
      <c r="I19" s="36">
        <f t="shared" si="4"/>
        <v>51120.799999999996</v>
      </c>
      <c r="J19" s="36">
        <f t="shared" si="4"/>
        <v>51120.799999999996</v>
      </c>
      <c r="K19" s="36">
        <f t="shared" si="4"/>
        <v>51120.799999999996</v>
      </c>
      <c r="L19" s="21"/>
      <c r="M19" s="21" t="s">
        <v>113</v>
      </c>
    </row>
    <row r="20" spans="2:13" ht="3.75" customHeight="1"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7" t="s">
        <v>108</v>
      </c>
      <c r="C21" s="38">
        <f>'BS source'!J8</f>
        <v>81422.361333333276</v>
      </c>
      <c r="D21" s="38">
        <f>'BS source'!K8</f>
        <v>87666.844000000026</v>
      </c>
      <c r="E21" s="38">
        <f>'BS source'!L8</f>
        <v>91868.353574602996</v>
      </c>
      <c r="F21" s="38"/>
      <c r="G21" s="36">
        <f>E21+'P&amp;L'!G24</f>
        <v>114357.17501460301</v>
      </c>
      <c r="H21" s="36">
        <f>G21+'P&amp;L'!H24</f>
        <v>139101.35003860301</v>
      </c>
      <c r="I21" s="36">
        <f>H21+'P&amp;L'!I24</f>
        <v>166326.414005003</v>
      </c>
      <c r="J21" s="36">
        <f>I21+'P&amp;L'!J24</f>
        <v>196280.45580804299</v>
      </c>
      <c r="K21" s="36">
        <f>J21+'P&amp;L'!K24</f>
        <v>229236.373231387</v>
      </c>
      <c r="L21" s="21"/>
      <c r="M21" s="21"/>
    </row>
    <row r="22" spans="2:13" ht="3.75" customHeight="1"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 ht="12.75" thickBot="1">
      <c r="B23" s="81" t="s">
        <v>109</v>
      </c>
      <c r="C23" s="82">
        <f>+SUM(C16:C21)</f>
        <v>144575.59999999998</v>
      </c>
      <c r="D23" s="82">
        <f t="shared" ref="D23:E23" si="5">+SUM(D16:D21)</f>
        <v>170464.2</v>
      </c>
      <c r="E23" s="82">
        <f t="shared" si="5"/>
        <v>187652.2</v>
      </c>
      <c r="F23" s="83"/>
      <c r="G23" s="84">
        <f t="shared" ref="G23:K23" si="6">+SUM(G16:G21)</f>
        <v>213527.50694734915</v>
      </c>
      <c r="H23" s="84">
        <f t="shared" si="6"/>
        <v>243076.63516462376</v>
      </c>
      <c r="I23" s="84">
        <f t="shared" si="6"/>
        <v>275587.14764362585</v>
      </c>
      <c r="J23" s="84">
        <f t="shared" si="6"/>
        <v>311355.18281052809</v>
      </c>
      <c r="K23" s="84">
        <f t="shared" si="6"/>
        <v>350706.49293412064</v>
      </c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  <row r="26" spans="2:13">
      <c r="B26" s="7" t="s">
        <v>110</v>
      </c>
      <c r="C26" s="7">
        <f>C14-C23</f>
        <v>0</v>
      </c>
      <c r="D26" s="7">
        <f>D14-D23</f>
        <v>0</v>
      </c>
      <c r="E26" s="7">
        <f>E14-E23</f>
        <v>0</v>
      </c>
      <c r="G26" s="13">
        <f>G14-G23</f>
        <v>0</v>
      </c>
      <c r="H26" s="13">
        <f>H14-H23</f>
        <v>0</v>
      </c>
      <c r="I26" s="13">
        <f>I14-I23</f>
        <v>0</v>
      </c>
      <c r="J26" s="13">
        <f>J14-J23</f>
        <v>0</v>
      </c>
      <c r="K26" s="13">
        <f>K14-K23</f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6"/>
  <sheetViews>
    <sheetView workbookViewId="0">
      <selection activeCell="H2" sqref="H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B4" s="11" t="s">
        <v>16</v>
      </c>
      <c r="C4" s="11" t="s">
        <v>6</v>
      </c>
      <c r="D4" s="32">
        <f>'P&amp;L'!D15</f>
        <v>16564.136000000017</v>
      </c>
      <c r="E4" s="32">
        <f>'P&amp;L'!E15</f>
        <v>23130.213574602993</v>
      </c>
      <c r="F4" s="32"/>
      <c r="G4" s="33">
        <f>'P&amp;L'!G15</f>
        <v>30089.312000000009</v>
      </c>
      <c r="H4" s="33">
        <f>'P&amp;L'!H15</f>
        <v>32839.743199999983</v>
      </c>
      <c r="I4" s="33">
        <f>'P&amp;L'!I15</f>
        <v>35865.217519999998</v>
      </c>
      <c r="J4" s="33">
        <f>'P&amp;L'!J15</f>
        <v>39193.239271999992</v>
      </c>
      <c r="K4" s="33">
        <f>'P&amp;L'!K15</f>
        <v>42854.063199200005</v>
      </c>
    </row>
    <row r="5" spans="2:15">
      <c r="B5" s="11" t="s">
        <v>114</v>
      </c>
      <c r="C5" s="11" t="s">
        <v>6</v>
      </c>
      <c r="D5" s="51">
        <f>+D6*D4</f>
        <v>-3740.0277204742097</v>
      </c>
      <c r="E5" s="32">
        <f>+E6*E4</f>
        <v>-4379.9683364332095</v>
      </c>
      <c r="F5" s="32"/>
      <c r="G5" s="33">
        <f>+G6*G4</f>
        <v>-5416.0761600000014</v>
      </c>
      <c r="H5" s="33">
        <f>+H6*H4</f>
        <v>-5911.1537759999965</v>
      </c>
      <c r="I5" s="33">
        <f>+I6*I4</f>
        <v>-6455.7391535999996</v>
      </c>
      <c r="J5" s="33">
        <f>+J6*J4</f>
        <v>-7054.7830689599987</v>
      </c>
      <c r="K5" s="33">
        <f>+K6*K4</f>
        <v>-7713.7313758560003</v>
      </c>
    </row>
    <row r="6" spans="2:15">
      <c r="B6" s="45" t="s">
        <v>121</v>
      </c>
      <c r="C6" s="45"/>
      <c r="D6" s="39">
        <f>'P&amp;L'!D22</f>
        <v>-0.22579069143565386</v>
      </c>
      <c r="E6" s="39">
        <f>'P&amp;L'!E22</f>
        <v>-0.18936134430001206</v>
      </c>
      <c r="F6" s="39"/>
      <c r="G6" s="44">
        <f>'P&amp;L'!G22</f>
        <v>-0.18</v>
      </c>
      <c r="H6" s="44">
        <f>'P&amp;L'!H22</f>
        <v>-0.18</v>
      </c>
      <c r="I6" s="44">
        <f>'P&amp;L'!I22</f>
        <v>-0.18</v>
      </c>
      <c r="J6" s="44">
        <f>'P&amp;L'!J22</f>
        <v>-0.18</v>
      </c>
      <c r="K6" s="44">
        <f>'P&amp;L'!K22</f>
        <v>-0.18</v>
      </c>
      <c r="L6" s="45"/>
      <c r="M6" s="45"/>
      <c r="N6" s="45"/>
      <c r="O6" s="45"/>
    </row>
    <row r="7" spans="2:15">
      <c r="B7" s="76" t="s">
        <v>115</v>
      </c>
      <c r="C7" s="76"/>
      <c r="D7" s="77">
        <f>SUM(D4:D5)</f>
        <v>12824.108279525808</v>
      </c>
      <c r="E7" s="77">
        <f>SUM(E4:E5)</f>
        <v>18750.245238169784</v>
      </c>
      <c r="F7" s="85"/>
      <c r="G7" s="86">
        <f>SUM(G4:G5)</f>
        <v>24673.235840000008</v>
      </c>
      <c r="H7" s="86">
        <f>SUM(H4:H5)</f>
        <v>26928.589423999987</v>
      </c>
      <c r="I7" s="86">
        <f>SUM(I4:I5)</f>
        <v>29409.478366399999</v>
      </c>
      <c r="J7" s="86">
        <f>SUM(J4:J5)</f>
        <v>32138.456203039994</v>
      </c>
      <c r="K7" s="86">
        <f>SUM(K4:K5)</f>
        <v>35140.331823344008</v>
      </c>
      <c r="L7" s="45"/>
      <c r="N7" s="45"/>
      <c r="O7" s="45"/>
    </row>
    <row r="8" spans="2:15" ht="3.75" customHeight="1">
      <c r="B8" s="24"/>
      <c r="C8" s="24"/>
      <c r="D8" s="40"/>
      <c r="E8" s="40"/>
      <c r="F8" s="30"/>
      <c r="G8" s="37"/>
      <c r="H8" s="37"/>
      <c r="I8" s="37"/>
      <c r="J8" s="37"/>
      <c r="K8" s="37"/>
      <c r="L8" s="45"/>
      <c r="N8" s="45"/>
      <c r="O8" s="45"/>
    </row>
    <row r="9" spans="2:15">
      <c r="B9" s="11" t="s">
        <v>144</v>
      </c>
      <c r="C9" s="11" t="s">
        <v>6</v>
      </c>
      <c r="D9" s="51">
        <f>-'P&amp;L'!D14</f>
        <v>4649.8</v>
      </c>
      <c r="E9" s="32">
        <f>-'P&amp;L'!E14</f>
        <v>6430.6600000000008</v>
      </c>
      <c r="F9" s="32"/>
      <c r="G9" s="33">
        <f>-'P&amp;L'!G14</f>
        <v>4584.0520000000006</v>
      </c>
      <c r="H9" s="33">
        <f>-'P&amp;L'!H14</f>
        <v>5042.4572000000007</v>
      </c>
      <c r="I9" s="33">
        <f>-'P&amp;L'!I14</f>
        <v>5546.7029200000015</v>
      </c>
      <c r="J9" s="33">
        <f>-'P&amp;L'!J14</f>
        <v>6101.3732120000022</v>
      </c>
      <c r="K9" s="33">
        <f>-'P&amp;L'!K14</f>
        <v>6711.510533200003</v>
      </c>
      <c r="L9" s="45"/>
      <c r="N9" s="45"/>
      <c r="O9" s="45"/>
    </row>
    <row r="10" spans="2:15">
      <c r="B10" s="76" t="s">
        <v>145</v>
      </c>
      <c r="C10" s="76"/>
      <c r="D10" s="77">
        <f>D7+D9</f>
        <v>17473.908279525807</v>
      </c>
      <c r="E10" s="77">
        <f>E7+E9</f>
        <v>25180.905238169784</v>
      </c>
      <c r="F10" s="85"/>
      <c r="G10" s="86">
        <f t="shared" ref="G10:K10" si="0">G7+G9</f>
        <v>29257.287840000008</v>
      </c>
      <c r="H10" s="86">
        <f t="shared" si="0"/>
        <v>31971.046623999988</v>
      </c>
      <c r="I10" s="86">
        <f t="shared" si="0"/>
        <v>34956.181286400002</v>
      </c>
      <c r="J10" s="86">
        <f t="shared" si="0"/>
        <v>38239.829415039996</v>
      </c>
      <c r="K10" s="86">
        <f t="shared" si="0"/>
        <v>41851.84235654401</v>
      </c>
      <c r="L10" s="45"/>
      <c r="M10" s="11" t="s">
        <v>123</v>
      </c>
      <c r="N10" s="45"/>
      <c r="O10" s="45"/>
    </row>
    <row r="11" spans="2:15" ht="3.75" customHeight="1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5" t="s">
        <v>32</v>
      </c>
      <c r="C12" s="45" t="s">
        <v>25</v>
      </c>
      <c r="D12" s="46">
        <f>-(BS!D8-BS!C8)</f>
        <v>-5229.6000000000022</v>
      </c>
      <c r="E12" s="46">
        <f>-(BS!E8-BS!D8)</f>
        <v>-9815.1999999999971</v>
      </c>
      <c r="F12" s="45"/>
      <c r="G12" s="36">
        <f>-(BS!G8-BS!E8)</f>
        <v>-4890.6705119757535</v>
      </c>
      <c r="H12" s="36">
        <f>-(BS!H8-BS!G8)</f>
        <v>-5110.2670511975884</v>
      </c>
      <c r="I12" s="36">
        <f>-(BS!I8-BS!H8)</f>
        <v>-5621.2937563173473</v>
      </c>
      <c r="J12" s="36">
        <f>-(BS!J8-BS!I8)</f>
        <v>-6183.4231319490791</v>
      </c>
      <c r="K12" s="36">
        <f>-(BS!K8-BS!J8)</f>
        <v>-6801.7654451439739</v>
      </c>
      <c r="L12" s="45"/>
      <c r="N12" s="45"/>
      <c r="O12" s="45"/>
    </row>
    <row r="13" spans="2:15">
      <c r="B13" s="45" t="s">
        <v>30</v>
      </c>
      <c r="C13" s="45" t="s">
        <v>25</v>
      </c>
      <c r="D13" s="46">
        <f>-(BS!D9-BS!C9)</f>
        <v>-5672.4000000000015</v>
      </c>
      <c r="E13" s="46">
        <f>-(BS!E9-BS!D9)</f>
        <v>-5025.5999999999985</v>
      </c>
      <c r="F13" s="45"/>
      <c r="G13" s="36">
        <f>-(BS!G9-BS!E9)</f>
        <v>-4358.1599999999962</v>
      </c>
      <c r="H13" s="36">
        <f>-(BS!H9-BS!G9)</f>
        <v>-4793.9760000000097</v>
      </c>
      <c r="I13" s="36">
        <f>-(BS!I9-BS!H9)</f>
        <v>-5273.3736000000063</v>
      </c>
      <c r="J13" s="36">
        <f>-(BS!J9-BS!I9)</f>
        <v>-5800.7109600000113</v>
      </c>
      <c r="K13" s="36">
        <f>-(BS!K9-BS!J9)</f>
        <v>-6380.7820559999964</v>
      </c>
      <c r="L13" s="45"/>
      <c r="N13" s="45"/>
      <c r="O13" s="45"/>
    </row>
    <row r="14" spans="2:15">
      <c r="B14" s="45" t="s">
        <v>116</v>
      </c>
      <c r="C14" s="45" t="s">
        <v>25</v>
      </c>
      <c r="D14" s="46">
        <f>BS!D16-BS!C16</f>
        <v>10460.399999999998</v>
      </c>
      <c r="E14" s="46">
        <f>BS!E16-BS!D16</f>
        <v>9838</v>
      </c>
      <c r="F14" s="45"/>
      <c r="G14" s="36">
        <f>BS!G16-BS!E16</f>
        <v>3829.988088812388</v>
      </c>
      <c r="H14" s="36">
        <f>BS!H16-BS!G16</f>
        <v>4001.9588088812379</v>
      </c>
      <c r="I14" s="36">
        <f>BS!I16-BS!H16</f>
        <v>4402.1546897693697</v>
      </c>
      <c r="J14" s="36">
        <f>BS!J16-BS!I16</f>
        <v>4842.3701587463074</v>
      </c>
      <c r="K14" s="36">
        <f>BS!K16-BS!J16</f>
        <v>5326.6071746209345</v>
      </c>
      <c r="L14" s="45"/>
      <c r="N14" s="45"/>
      <c r="O14" s="45"/>
    </row>
    <row r="15" spans="2:15">
      <c r="B15" s="76" t="s">
        <v>117</v>
      </c>
      <c r="C15" s="76"/>
      <c r="D15" s="77">
        <f>+SUM(D12:D14)</f>
        <v>-441.60000000000582</v>
      </c>
      <c r="E15" s="77">
        <f>+SUM(E12:E14)</f>
        <v>-5002.7999999999956</v>
      </c>
      <c r="F15" s="85"/>
      <c r="G15" s="86">
        <f>+SUM(G12:G14)</f>
        <v>-5418.8424231633617</v>
      </c>
      <c r="H15" s="86">
        <f>+SUM(H12:H14)</f>
        <v>-5902.2842423163602</v>
      </c>
      <c r="I15" s="86">
        <f>+SUM(I12:I14)</f>
        <v>-6492.5126665479838</v>
      </c>
      <c r="J15" s="86">
        <f>+SUM(J12:J14)</f>
        <v>-7141.7639332027829</v>
      </c>
      <c r="K15" s="86">
        <f>+SUM(K12:K14)</f>
        <v>-7855.9403265230358</v>
      </c>
      <c r="L15" s="45"/>
      <c r="M15" s="11" t="s">
        <v>124</v>
      </c>
      <c r="N15" s="45"/>
      <c r="O15" s="45"/>
    </row>
    <row r="16" spans="2:15">
      <c r="B16" s="47" t="s">
        <v>118</v>
      </c>
      <c r="C16" s="58" t="s">
        <v>25</v>
      </c>
      <c r="D16" s="48">
        <f>-(BS!D10-BS!C10)+(BS!D17-BS!C17)</f>
        <v>-2686.2826666666824</v>
      </c>
      <c r="E16" s="48">
        <f>-(BS!E10-BS!D10)+(BS!E17-BS!D17)</f>
        <v>-3570.5095746029638</v>
      </c>
      <c r="F16" s="49"/>
      <c r="G16" s="37">
        <f>-(BS!G10-BS!E10)+(BS!G17-BS!E17)</f>
        <v>2291.7789341974194</v>
      </c>
      <c r="H16" s="37">
        <f>-(BS!H10-BS!G10)+(BS!H17-BS!G17)</f>
        <v>-683.75746404055371</v>
      </c>
      <c r="I16" s="37">
        <f>-(BS!I10-BS!H10)+(BS!I17-BS!H17)</f>
        <v>-752.13321044460827</v>
      </c>
      <c r="J16" s="37">
        <f>-(BS!J10-BS!I10)+(BS!J17-BS!I17)</f>
        <v>-827.34653148907455</v>
      </c>
      <c r="K16" s="37">
        <f>-(BS!K10-BS!J10)+(BS!K17-BS!J17)</f>
        <v>-910.08118463797837</v>
      </c>
      <c r="L16" s="45"/>
      <c r="M16" s="11" t="s">
        <v>125</v>
      </c>
      <c r="N16" s="45"/>
      <c r="O16" s="45"/>
    </row>
    <row r="17" spans="2:15" ht="3.75" customHeight="1">
      <c r="B17" s="47"/>
      <c r="C17" s="58"/>
      <c r="D17" s="49"/>
      <c r="E17" s="49"/>
      <c r="F17" s="49"/>
      <c r="G17" s="36"/>
      <c r="H17" s="36"/>
      <c r="I17" s="36"/>
      <c r="J17" s="36"/>
      <c r="K17" s="36"/>
      <c r="L17" s="45"/>
      <c r="N17" s="45"/>
      <c r="O17" s="45"/>
    </row>
    <row r="18" spans="2:15">
      <c r="B18" s="47" t="s">
        <v>119</v>
      </c>
      <c r="C18" s="58" t="s">
        <v>25</v>
      </c>
      <c r="D18" s="48">
        <f>-(BS!D5-BS!C5)+'P&amp;L'!D14</f>
        <v>-8615.7999999999993</v>
      </c>
      <c r="E18" s="48">
        <f>-(BS!E5-BS!D5)+'P&amp;L'!E14</f>
        <v>-13467.459999999995</v>
      </c>
      <c r="F18" s="45"/>
      <c r="G18" s="37">
        <f>-(BS!G5-BS!E5)+'P&amp;L'!G14</f>
        <v>-8372.8707693811848</v>
      </c>
      <c r="H18" s="37">
        <f>-(BS!H5-BS!G5)+'P&amp;L'!H14</f>
        <v>-11032.259076938124</v>
      </c>
      <c r="I18" s="37">
        <f>-(BS!I5-BS!H5)+'P&amp;L'!I14</f>
        <v>-12135.484984631947</v>
      </c>
      <c r="J18" s="37">
        <f>-(BS!J5-BS!I5)+'P&amp;L'!J14</f>
        <v>-13349.033483095143</v>
      </c>
      <c r="K18" s="37">
        <f>-(BS!K5-BS!J5)+'P&amp;L'!K14</f>
        <v>-14683.936831404637</v>
      </c>
      <c r="L18" s="45"/>
      <c r="M18" s="11" t="s">
        <v>126</v>
      </c>
      <c r="N18" s="45"/>
      <c r="O18" s="45"/>
    </row>
    <row r="19" spans="2:15">
      <c r="B19" s="47" t="s">
        <v>120</v>
      </c>
      <c r="C19" s="58" t="s">
        <v>25</v>
      </c>
      <c r="D19" s="48">
        <f>-(BS!D4-BS!C4)-(BS!D6-BS!C6)</f>
        <v>-885.39999999999964</v>
      </c>
      <c r="E19" s="48">
        <f>-(BS!E4-BS!D4)-(BS!E6-BS!D6)</f>
        <v>-302</v>
      </c>
      <c r="F19" s="45"/>
      <c r="G19" s="37">
        <f>-(BS!G4-BS!E4)-(BS!G6-BS!E6)</f>
        <v>0</v>
      </c>
      <c r="H19" s="37">
        <f>-(BS!H4-BS!G4)-(BS!H6-BS!G6)</f>
        <v>0</v>
      </c>
      <c r="I19" s="37">
        <f>-(BS!I4-BS!H4)-(BS!I6-BS!H6)</f>
        <v>0</v>
      </c>
      <c r="J19" s="37">
        <f>-(BS!J4-BS!I4)-(BS!J6-BS!I6)</f>
        <v>0</v>
      </c>
      <c r="K19" s="37">
        <f>-(BS!K4-BS!J4)-(BS!K6-BS!J6)</f>
        <v>0</v>
      </c>
      <c r="L19" s="45"/>
      <c r="M19" s="11" t="s">
        <v>127</v>
      </c>
      <c r="N19" s="45"/>
      <c r="O19" s="45"/>
    </row>
    <row r="20" spans="2:15" ht="3.75" customHeight="1">
      <c r="B20" s="45"/>
      <c r="C20" s="45"/>
      <c r="D20" s="45"/>
      <c r="E20" s="45"/>
      <c r="F20" s="45"/>
      <c r="G20" s="37"/>
      <c r="H20" s="37"/>
      <c r="I20" s="37"/>
      <c r="J20" s="37"/>
      <c r="K20" s="37"/>
      <c r="L20" s="45"/>
      <c r="N20" s="45"/>
      <c r="O20" s="45"/>
    </row>
    <row r="21" spans="2:15" ht="12" customHeight="1">
      <c r="B21" s="47" t="s">
        <v>104</v>
      </c>
      <c r="C21" s="58" t="s">
        <v>6</v>
      </c>
      <c r="D21" s="48">
        <f>'P&amp;L'!D18</f>
        <v>-864.30000000000007</v>
      </c>
      <c r="E21" s="48">
        <f>'P&amp;L'!E18</f>
        <v>-320.26</v>
      </c>
      <c r="F21" s="45"/>
      <c r="G21" s="37">
        <f>'P&amp;L'!G18</f>
        <v>0</v>
      </c>
      <c r="H21" s="37">
        <f>'P&amp;L'!H18</f>
        <v>0</v>
      </c>
      <c r="I21" s="37">
        <f>'P&amp;L'!I18</f>
        <v>0</v>
      </c>
      <c r="J21" s="37">
        <f>'P&amp;L'!J18</f>
        <v>0</v>
      </c>
      <c r="K21" s="37">
        <f>'P&amp;L'!K18</f>
        <v>0</v>
      </c>
      <c r="L21" s="45"/>
      <c r="M21" s="11" t="s">
        <v>128</v>
      </c>
      <c r="N21" s="45"/>
      <c r="O21" s="45"/>
    </row>
    <row r="22" spans="2:15" ht="3.75" customHeight="1">
      <c r="B22" s="45"/>
      <c r="C22" s="45"/>
      <c r="D22" s="45"/>
      <c r="E22" s="45"/>
      <c r="F22" s="45"/>
      <c r="G22" s="67"/>
      <c r="H22" s="67"/>
      <c r="I22" s="67"/>
      <c r="J22" s="67"/>
      <c r="K22" s="67"/>
      <c r="L22" s="45"/>
      <c r="N22" s="45"/>
      <c r="O22" s="45"/>
    </row>
    <row r="23" spans="2:15">
      <c r="B23" s="74" t="s">
        <v>122</v>
      </c>
      <c r="C23" s="74"/>
      <c r="D23" s="75">
        <f t="shared" ref="D23:E23" si="1">SUM(D10,D15,D16,D18,D19,D21)</f>
        <v>3980.52561285912</v>
      </c>
      <c r="E23" s="75">
        <f t="shared" si="1"/>
        <v>2517.8756635668306</v>
      </c>
      <c r="F23" s="74"/>
      <c r="G23" s="75">
        <f>SUM(G10,G15,G16,G18,G19,G21)</f>
        <v>17757.353581652882</v>
      </c>
      <c r="H23" s="75">
        <f t="shared" ref="H23:K23" si="2">SUM(H10,H15,H16,H18,H19,H21)</f>
        <v>14352.745840704949</v>
      </c>
      <c r="I23" s="75">
        <f t="shared" si="2"/>
        <v>15576.050424775463</v>
      </c>
      <c r="J23" s="75">
        <f t="shared" si="2"/>
        <v>16921.685467252995</v>
      </c>
      <c r="K23" s="75">
        <f t="shared" si="2"/>
        <v>18401.884013978357</v>
      </c>
      <c r="L23" s="45"/>
      <c r="M23" s="11" t="s">
        <v>138</v>
      </c>
      <c r="N23" s="45"/>
      <c r="O23" s="45"/>
    </row>
    <row r="24" spans="2:15" ht="3.75" customHeight="1">
      <c r="B24" s="45"/>
      <c r="C24" s="45"/>
      <c r="D24" s="45"/>
      <c r="E24" s="45"/>
      <c r="F24" s="45"/>
      <c r="G24" s="67"/>
      <c r="H24" s="67"/>
      <c r="I24" s="67"/>
      <c r="J24" s="67"/>
      <c r="K24" s="67"/>
      <c r="L24" s="45"/>
      <c r="N24" s="45"/>
      <c r="O24" s="45"/>
    </row>
    <row r="25" spans="2:15">
      <c r="B25" s="45" t="s">
        <v>103</v>
      </c>
      <c r="C25" s="45" t="s">
        <v>6</v>
      </c>
      <c r="D25" s="46">
        <f>'P&amp;L'!D17</f>
        <v>-2190.9</v>
      </c>
      <c r="E25" s="46">
        <f>'P&amp;L'!E17</f>
        <v>-2663.92</v>
      </c>
      <c r="F25" s="45"/>
      <c r="G25" s="37">
        <f>'P&amp;L'!G17</f>
        <v>-2663.92</v>
      </c>
      <c r="H25" s="37">
        <f>'P&amp;L'!H17</f>
        <v>-2663.92</v>
      </c>
      <c r="I25" s="37">
        <f>'P&amp;L'!I17</f>
        <v>-2663.92</v>
      </c>
      <c r="J25" s="37">
        <f>'P&amp;L'!J17</f>
        <v>-2663.92</v>
      </c>
      <c r="K25" s="37">
        <f>'P&amp;L'!K17</f>
        <v>-2663.92</v>
      </c>
      <c r="L25" s="45"/>
      <c r="M25" s="11" t="s">
        <v>133</v>
      </c>
      <c r="N25" s="45"/>
      <c r="O25" s="45"/>
    </row>
    <row r="26" spans="2:15">
      <c r="B26" s="45" t="s">
        <v>129</v>
      </c>
      <c r="C26" s="45" t="s">
        <v>6</v>
      </c>
      <c r="D26" s="46">
        <f>'P&amp;L'!D21-'Cash Flow'!D5</f>
        <v>689.83572047420967</v>
      </c>
      <c r="E26" s="45">
        <f>'P&amp;L'!E21-'Cash Flow'!E5</f>
        <v>565.08833643320941</v>
      </c>
      <c r="F26" s="45"/>
      <c r="G26" s="37">
        <f>'P&amp;L'!G21-'Cash Flow'!G5</f>
        <v>479.50560000000041</v>
      </c>
      <c r="H26" s="37">
        <f>'P&amp;L'!H21-'Cash Flow'!H5</f>
        <v>479.5055999999995</v>
      </c>
      <c r="I26" s="37">
        <f>'P&amp;L'!I21-'Cash Flow'!I5</f>
        <v>479.5055999999995</v>
      </c>
      <c r="J26" s="37">
        <f>'P&amp;L'!J21-'Cash Flow'!J5</f>
        <v>479.50560000000041</v>
      </c>
      <c r="K26" s="37">
        <f>'P&amp;L'!K21-'Cash Flow'!K5</f>
        <v>479.5055999999995</v>
      </c>
      <c r="L26" s="45"/>
      <c r="M26" s="11" t="s">
        <v>134</v>
      </c>
      <c r="N26" s="45"/>
      <c r="O26" s="45"/>
    </row>
    <row r="27" spans="2:15">
      <c r="B27" s="45" t="s">
        <v>130</v>
      </c>
      <c r="C27" s="45" t="s">
        <v>25</v>
      </c>
      <c r="D27" s="46">
        <f>BS!D19-BS!C19</f>
        <v>9352.3999999999942</v>
      </c>
      <c r="E27" s="46">
        <f>BS!E19-BS!D19</f>
        <v>475.39999999999418</v>
      </c>
      <c r="F27" s="45"/>
      <c r="G27" s="37">
        <f>BS!G19-BS!E19</f>
        <v>0</v>
      </c>
      <c r="H27" s="37">
        <f>BS!H19-BS!G19</f>
        <v>0</v>
      </c>
      <c r="I27" s="37">
        <f>BS!I19-BS!H19</f>
        <v>0</v>
      </c>
      <c r="J27" s="37">
        <f>BS!J19-BS!I19</f>
        <v>0</v>
      </c>
      <c r="K27" s="37">
        <f>BS!K19-BS!J19</f>
        <v>0</v>
      </c>
      <c r="L27" s="45"/>
      <c r="M27" s="11" t="s">
        <v>135</v>
      </c>
      <c r="N27" s="45"/>
      <c r="O27" s="45"/>
    </row>
    <row r="28" spans="2:15">
      <c r="B28" s="45" t="s">
        <v>131</v>
      </c>
      <c r="C28" s="45" t="s">
        <v>139</v>
      </c>
      <c r="D28" s="46">
        <f>BS!D21-BS!C21-'P&amp;L'!D24</f>
        <v>-4214.2613333332665</v>
      </c>
      <c r="E28" s="46">
        <f>BS!E21-BS!D21-'P&amp;L'!E24</f>
        <v>-12129.644000000022</v>
      </c>
      <c r="F28" s="45"/>
      <c r="G28" s="37">
        <f>BS!G21-BS!E21-'P&amp;L'!G24</f>
        <v>0</v>
      </c>
      <c r="H28" s="37">
        <f>BS!H21-BS!G21-'P&amp;L'!H24</f>
        <v>0</v>
      </c>
      <c r="I28" s="37">
        <f>BS!I21-BS!H21-'P&amp;L'!I24</f>
        <v>0</v>
      </c>
      <c r="J28" s="37">
        <f>BS!J21-BS!I21-'P&amp;L'!J24</f>
        <v>0</v>
      </c>
      <c r="K28" s="37">
        <f>BS!K21-BS!J21-'P&amp;L'!K24</f>
        <v>0</v>
      </c>
      <c r="L28" s="45"/>
      <c r="M28" s="11" t="s">
        <v>136</v>
      </c>
      <c r="N28" s="45"/>
      <c r="O28" s="45"/>
    </row>
    <row r="29" spans="2:15" ht="3.75" customHeight="1">
      <c r="B29" s="45"/>
      <c r="C29" s="45"/>
      <c r="D29" s="45"/>
      <c r="E29" s="45"/>
      <c r="F29" s="45"/>
      <c r="G29" s="37"/>
      <c r="H29" s="37"/>
      <c r="I29" s="37"/>
      <c r="J29" s="37"/>
      <c r="K29" s="37"/>
      <c r="L29" s="45"/>
      <c r="N29" s="45"/>
      <c r="O29" s="45"/>
    </row>
    <row r="30" spans="2:15">
      <c r="B30" s="74" t="s">
        <v>132</v>
      </c>
      <c r="C30" s="74"/>
      <c r="D30" s="75">
        <f>SUM(D23,D25,D26,D27,D28)</f>
        <v>7617.6000000000568</v>
      </c>
      <c r="E30" s="75">
        <f>SUM(E23,E25,E26,E27,E28)</f>
        <v>-11235.199999999988</v>
      </c>
      <c r="F30" s="74"/>
      <c r="G30" s="75">
        <f>SUM(G23,G25,G26,G27,G28)</f>
        <v>15572.939181652882</v>
      </c>
      <c r="H30" s="75">
        <f>SUM(H23,H25,H26,H27,H28)</f>
        <v>12168.331440704947</v>
      </c>
      <c r="I30" s="75">
        <f>SUM(I23,I25,I26,I27,I28)</f>
        <v>13391.636024775464</v>
      </c>
      <c r="J30" s="75">
        <f>SUM(J23,J25,J26,J27,J28)</f>
        <v>14737.271067252996</v>
      </c>
      <c r="K30" s="75">
        <f>SUM(K23,K25,K26,K27,K28)</f>
        <v>16217.469613978355</v>
      </c>
      <c r="L30" s="45"/>
      <c r="M30" s="11" t="s">
        <v>137</v>
      </c>
      <c r="N30" s="45"/>
      <c r="O30" s="45"/>
    </row>
    <row r="31" spans="2:15"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</row>
    <row r="32" spans="2:15">
      <c r="B32" s="63" t="s">
        <v>140</v>
      </c>
      <c r="C32" s="63"/>
      <c r="D32" s="64">
        <f>BS!C12</f>
        <v>11791.199999999999</v>
      </c>
      <c r="E32" s="64">
        <f>BS!D12</f>
        <v>19408.8</v>
      </c>
      <c r="F32" s="64"/>
      <c r="G32" s="64">
        <f>BS!E12</f>
        <v>8173.6</v>
      </c>
      <c r="H32" s="64">
        <f>BS!G12</f>
        <v>23746.539181652883</v>
      </c>
      <c r="I32" s="64">
        <f>BS!H12</f>
        <v>35914.870622357834</v>
      </c>
      <c r="J32" s="64">
        <f>BS!I12</f>
        <v>49306.506647133298</v>
      </c>
      <c r="K32" s="64">
        <f>BS!J12</f>
        <v>64043.777714386291</v>
      </c>
      <c r="L32" s="45"/>
    </row>
    <row r="33" spans="2:12">
      <c r="B33" s="63" t="s">
        <v>141</v>
      </c>
      <c r="C33" s="63"/>
      <c r="D33" s="64">
        <f>D30+D32</f>
        <v>19408.800000000054</v>
      </c>
      <c r="E33" s="64">
        <f>E30+E32</f>
        <v>8173.6000000000113</v>
      </c>
      <c r="F33" s="64"/>
      <c r="G33" s="64">
        <f>G30+G32</f>
        <v>23746.539181652883</v>
      </c>
      <c r="H33" s="64">
        <f>H30+H32</f>
        <v>35914.870622357834</v>
      </c>
      <c r="I33" s="64">
        <f>I30+I32</f>
        <v>49306.506647133298</v>
      </c>
      <c r="J33" s="64">
        <f>J30+J32</f>
        <v>64043.777714386291</v>
      </c>
      <c r="K33" s="64">
        <f>K30+K32</f>
        <v>80261.24732836464</v>
      </c>
      <c r="L33" s="45"/>
    </row>
    <row r="34" spans="2:12"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</row>
    <row r="35" spans="2:12" outlineLevel="1">
      <c r="B35" s="87" t="s">
        <v>110</v>
      </c>
      <c r="C35" s="87"/>
      <c r="D35" s="88">
        <f>BS!D12</f>
        <v>19408.8</v>
      </c>
      <c r="E35" s="87">
        <f>BS!E12</f>
        <v>8173.6</v>
      </c>
      <c r="F35" s="87"/>
      <c r="G35" s="88">
        <f>BS!G12</f>
        <v>23746.539181652883</v>
      </c>
      <c r="H35" s="88">
        <f>BS!H12</f>
        <v>35914.870622357834</v>
      </c>
      <c r="I35" s="88">
        <f>BS!I12</f>
        <v>49306.506647133298</v>
      </c>
      <c r="J35" s="88">
        <f>BS!J12</f>
        <v>64043.777714386291</v>
      </c>
      <c r="K35" s="88">
        <f>BS!K12</f>
        <v>80261.24732836464</v>
      </c>
      <c r="L35" s="45"/>
    </row>
    <row r="36" spans="2:12" outlineLevel="1">
      <c r="B36" s="89"/>
      <c r="C36" s="89"/>
      <c r="D36" s="90">
        <f>D33-D35</f>
        <v>5.4569682106375694E-11</v>
      </c>
      <c r="E36" s="90">
        <f>E33-E35</f>
        <v>1.0913936421275139E-11</v>
      </c>
      <c r="F36" s="89"/>
      <c r="G36" s="89">
        <f>G33-G35</f>
        <v>0</v>
      </c>
      <c r="H36" s="89">
        <f>H33-H35</f>
        <v>0</v>
      </c>
      <c r="I36" s="89">
        <f>I33-I35</f>
        <v>0</v>
      </c>
      <c r="J36" s="89">
        <f>J33-J35</f>
        <v>0</v>
      </c>
      <c r="K36" s="89">
        <f>K33-K35</f>
        <v>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4"/>
  <sheetViews>
    <sheetView tabSelected="1" workbookViewId="0">
      <selection activeCell="C4" sqref="C4"/>
    </sheetView>
  </sheetViews>
  <sheetFormatPr defaultRowHeight="12"/>
  <cols>
    <col min="1" max="1" width="2" style="7" customWidth="1"/>
    <col min="2" max="2" width="22.7109375" style="7" customWidth="1"/>
    <col min="3" max="3" width="9.140625" style="7"/>
    <col min="4" max="4" width="11.5703125" style="7" bestFit="1" customWidth="1"/>
    <col min="5" max="5" width="2" style="7" customWidth="1"/>
    <col min="6" max="6" width="10" style="7" bestFit="1" customWidth="1"/>
    <col min="7" max="10" width="9.140625" style="7"/>
    <col min="11" max="11" width="2" style="7" customWidth="1"/>
    <col min="12" max="16384" width="9.140625" style="7"/>
  </cols>
  <sheetData>
    <row r="1" spans="1:19" ht="15.75">
      <c r="B1" s="6" t="s">
        <v>4</v>
      </c>
    </row>
    <row r="3" spans="1:19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</row>
    <row r="4" spans="1:19">
      <c r="B4" s="21" t="s">
        <v>142</v>
      </c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</row>
    <row r="5" spans="1:19">
      <c r="B5" s="21" t="s">
        <v>143</v>
      </c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</row>
    <row r="6" spans="1:19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</row>
    <row r="7" spans="1:19">
      <c r="A7" s="21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</row>
    <row r="8" spans="1:19">
      <c r="A8" s="21"/>
      <c r="B8" s="68"/>
      <c r="C8" s="68"/>
      <c r="D8" s="68"/>
      <c r="E8" s="68"/>
      <c r="F8" s="68"/>
      <c r="G8" s="68"/>
      <c r="H8" s="68"/>
      <c r="I8" s="68"/>
      <c r="J8" s="68"/>
      <c r="K8" s="21"/>
      <c r="L8" s="21"/>
      <c r="M8" s="21"/>
      <c r="N8" s="21"/>
      <c r="O8" s="21"/>
      <c r="P8" s="21"/>
      <c r="Q8" s="21"/>
      <c r="R8" s="21"/>
      <c r="S8" s="21"/>
    </row>
    <row r="9" spans="1:19">
      <c r="A9" s="21"/>
      <c r="B9" s="21"/>
      <c r="C9" s="21"/>
      <c r="D9" s="59"/>
      <c r="E9" s="60"/>
      <c r="F9" s="39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</row>
    <row r="10" spans="1:19">
      <c r="A10" s="21"/>
      <c r="B10" s="21"/>
      <c r="C10" s="21"/>
      <c r="D10" s="61"/>
      <c r="E10" s="60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</row>
    <row r="11" spans="1:19">
      <c r="A11" s="21"/>
      <c r="B11" s="21"/>
      <c r="C11" s="21"/>
      <c r="D11" s="59"/>
      <c r="E11" s="60"/>
      <c r="F11" s="39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</row>
    <row r="12" spans="1:19">
      <c r="A12" s="21"/>
      <c r="B12" s="24"/>
      <c r="C12" s="24"/>
      <c r="D12" s="40"/>
      <c r="E12" s="24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</row>
    <row r="13" spans="1:19">
      <c r="A13" s="21"/>
      <c r="B13" s="21"/>
      <c r="C13" s="21"/>
      <c r="D13" s="38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</row>
    <row r="14" spans="1:19">
      <c r="A14" s="21"/>
      <c r="B14" s="21"/>
      <c r="C14" s="21"/>
      <c r="D14" s="38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</row>
    <row r="15" spans="1:19">
      <c r="A15" s="21"/>
      <c r="B15" s="24"/>
      <c r="C15" s="24"/>
      <c r="D15" s="40"/>
      <c r="E15" s="24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</row>
    <row r="16" spans="1:19"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</row>
    <row r="17" spans="2:19"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</row>
    <row r="18" spans="2:19"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</row>
    <row r="19" spans="2:19">
      <c r="B19" s="21"/>
      <c r="C19" s="21"/>
      <c r="D19" s="21"/>
      <c r="E19" s="21"/>
      <c r="F19" s="41"/>
      <c r="G19" s="62"/>
      <c r="H19" s="62"/>
      <c r="I19" s="62"/>
      <c r="J19" s="62"/>
      <c r="K19" s="21"/>
      <c r="L19" s="21"/>
      <c r="M19" s="21"/>
      <c r="N19" s="21"/>
      <c r="O19" s="21"/>
      <c r="P19" s="21"/>
      <c r="Q19" s="21"/>
      <c r="R19" s="21"/>
      <c r="S19" s="21"/>
    </row>
    <row r="20" spans="2:19">
      <c r="B20" s="21"/>
      <c r="C20" s="21"/>
      <c r="D20" s="21"/>
      <c r="E20" s="21"/>
      <c r="F20" s="62"/>
      <c r="G20" s="38"/>
      <c r="H20" s="38"/>
      <c r="I20" s="38"/>
      <c r="J20" s="38"/>
      <c r="K20" s="21"/>
      <c r="L20" s="21"/>
      <c r="M20" s="21"/>
      <c r="N20" s="21"/>
      <c r="O20" s="21"/>
      <c r="P20" s="21"/>
      <c r="Q20" s="21"/>
      <c r="R20" s="21"/>
      <c r="S20" s="21"/>
    </row>
    <row r="21" spans="2:19">
      <c r="B21" s="21"/>
      <c r="C21" s="21"/>
      <c r="D21" s="21"/>
      <c r="E21" s="21"/>
      <c r="F21" s="62"/>
      <c r="G21" s="38"/>
      <c r="H21" s="38"/>
      <c r="I21" s="38"/>
      <c r="J21" s="38"/>
      <c r="K21" s="21"/>
      <c r="L21" s="21"/>
      <c r="M21" s="21"/>
      <c r="N21" s="21"/>
      <c r="O21" s="21"/>
      <c r="P21" s="21"/>
      <c r="Q21" s="21"/>
      <c r="R21" s="21"/>
      <c r="S21" s="21"/>
    </row>
    <row r="22" spans="2:19">
      <c r="B22" s="21"/>
      <c r="C22" s="21"/>
      <c r="D22" s="21"/>
      <c r="E22" s="21"/>
      <c r="F22" s="62"/>
      <c r="G22" s="38"/>
      <c r="H22" s="38"/>
      <c r="I22" s="38"/>
      <c r="J22" s="38"/>
      <c r="K22" s="21"/>
      <c r="L22" s="21"/>
      <c r="M22" s="21"/>
      <c r="N22" s="21"/>
      <c r="O22" s="21"/>
      <c r="P22" s="21"/>
      <c r="Q22" s="21"/>
      <c r="R22" s="21"/>
      <c r="S22" s="21"/>
    </row>
    <row r="23" spans="2:19">
      <c r="B23" s="21"/>
      <c r="C23" s="21"/>
      <c r="D23" s="21"/>
      <c r="E23" s="21"/>
      <c r="F23" s="62"/>
      <c r="G23" s="38"/>
      <c r="H23" s="38"/>
      <c r="I23" s="38"/>
      <c r="J23" s="38"/>
      <c r="K23" s="21"/>
      <c r="L23" s="21"/>
      <c r="M23" s="21"/>
      <c r="N23" s="21"/>
      <c r="O23" s="21"/>
      <c r="P23" s="21"/>
      <c r="Q23" s="21"/>
      <c r="R23" s="21"/>
      <c r="S23" s="21"/>
    </row>
    <row r="24" spans="2:19"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66"/>
      <c r="K5" s="66"/>
      <c r="L5" s="66"/>
      <c r="M5" s="66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2016-06-21T15:03:47Z</dcterms:modified>
</cp:coreProperties>
</file>