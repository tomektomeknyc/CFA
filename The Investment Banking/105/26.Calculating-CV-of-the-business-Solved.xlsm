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525" windowWidth="14805" windowHeight="7590" firstSheet="2" activeTab="8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10" i="11" l="1"/>
  <c r="J10" i="11"/>
  <c r="I10" i="11"/>
  <c r="H10" i="11"/>
  <c r="G10" i="11"/>
  <c r="J4" i="7" l="1"/>
  <c r="I4" i="7"/>
  <c r="E19" i="7"/>
  <c r="E27" i="6" s="1"/>
  <c r="D19" i="7"/>
  <c r="E12" i="7"/>
  <c r="D12" i="7"/>
  <c r="E6" i="7"/>
  <c r="K6" i="7" s="1"/>
  <c r="D6" i="7"/>
  <c r="E4" i="7"/>
  <c r="D4" i="7"/>
  <c r="C19" i="7"/>
  <c r="C12" i="7"/>
  <c r="D32" i="6" s="1"/>
  <c r="C6" i="7"/>
  <c r="C4" i="7"/>
  <c r="H6" i="7" l="1"/>
  <c r="K19" i="7"/>
  <c r="K27" i="6" s="1"/>
  <c r="E32" i="6"/>
  <c r="D35" i="6"/>
  <c r="E19" i="6"/>
  <c r="G32" i="6"/>
  <c r="E35" i="6"/>
  <c r="G4" i="7"/>
  <c r="K4" i="7"/>
  <c r="J6" i="7"/>
  <c r="I19" i="7"/>
  <c r="I27" i="6" s="1"/>
  <c r="G19" i="7"/>
  <c r="G27" i="6" s="1"/>
  <c r="D19" i="6"/>
  <c r="I6" i="7"/>
  <c r="J19" i="6" s="1"/>
  <c r="H19" i="7"/>
  <c r="H27" i="6" s="1"/>
  <c r="D27" i="6"/>
  <c r="H4" i="7"/>
  <c r="G6" i="7"/>
  <c r="J19" i="7"/>
  <c r="K19" i="6" l="1"/>
  <c r="H19" i="6"/>
  <c r="J27" i="6"/>
  <c r="G19" i="6"/>
  <c r="I19" i="6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6" i="6" l="1"/>
  <c r="D16" i="6"/>
  <c r="E11" i="9"/>
  <c r="E16" i="7" s="1"/>
  <c r="D11" i="9"/>
  <c r="D16" i="7" s="1"/>
  <c r="C11" i="9"/>
  <c r="C16" i="7" s="1"/>
  <c r="E8" i="9"/>
  <c r="E8" i="7" s="1"/>
  <c r="D8" i="9"/>
  <c r="D8" i="7" s="1"/>
  <c r="D12" i="6" s="1"/>
  <c r="C8" i="9"/>
  <c r="C8" i="7" s="1"/>
  <c r="C14" i="7" s="1"/>
  <c r="E5" i="9"/>
  <c r="E9" i="7" s="1"/>
  <c r="E13" i="6" s="1"/>
  <c r="D5" i="9"/>
  <c r="D9" i="7" s="1"/>
  <c r="C5" i="9"/>
  <c r="C9" i="7" s="1"/>
  <c r="E14" i="6" l="1"/>
  <c r="D13" i="6"/>
  <c r="E12" i="6"/>
  <c r="E15" i="6" s="1"/>
  <c r="E14" i="7"/>
  <c r="D14" i="6"/>
  <c r="D15" i="6" s="1"/>
  <c r="D14" i="7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K6" i="6"/>
  <c r="G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8" i="5"/>
  <c r="E9" i="9"/>
  <c r="E12" i="9"/>
  <c r="C14" i="5"/>
  <c r="D17" i="5"/>
  <c r="D25" i="6" s="1"/>
  <c r="D40" i="8"/>
  <c r="E18" i="5"/>
  <c r="E21" i="6" s="1"/>
  <c r="E11" i="5"/>
  <c r="C11" i="5"/>
  <c r="D14" i="5"/>
  <c r="E17" i="5"/>
  <c r="E25" i="6" s="1"/>
  <c r="G39" i="8"/>
  <c r="E40" i="8"/>
  <c r="D8" i="5"/>
  <c r="D9" i="9"/>
  <c r="D12" i="9"/>
  <c r="C8" i="5"/>
  <c r="C12" i="9"/>
  <c r="C9" i="9"/>
  <c r="D11" i="5"/>
  <c r="E14" i="5"/>
  <c r="C18" i="5"/>
  <c r="E15" i="8"/>
  <c r="D15" i="8"/>
  <c r="D5" i="5" s="1"/>
  <c r="C15" i="8"/>
  <c r="C5" i="5" s="1"/>
  <c r="K9" i="9" l="1"/>
  <c r="G9" i="9"/>
  <c r="J9" i="9"/>
  <c r="I9" i="9"/>
  <c r="H9" i="9"/>
  <c r="E5" i="5"/>
  <c r="G15" i="8"/>
  <c r="D16" i="8"/>
  <c r="D9" i="6"/>
  <c r="D18" i="6"/>
  <c r="E16" i="8"/>
  <c r="E9" i="6"/>
  <c r="E18" i="6"/>
  <c r="H39" i="8"/>
  <c r="G17" i="5"/>
  <c r="G25" i="6" s="1"/>
  <c r="J12" i="9"/>
  <c r="G12" i="9"/>
  <c r="I12" i="9"/>
  <c r="H12" i="9"/>
  <c r="K12" i="9"/>
  <c r="K10" i="8"/>
  <c r="J10" i="8"/>
  <c r="I10" i="8"/>
  <c r="H10" i="8"/>
  <c r="G10" i="8"/>
  <c r="H15" i="8" l="1"/>
  <c r="G5" i="5"/>
  <c r="I39" i="8"/>
  <c r="H17" i="5"/>
  <c r="H25" i="6" s="1"/>
  <c r="G9" i="8"/>
  <c r="E10" i="8"/>
  <c r="E9" i="8"/>
  <c r="D9" i="8"/>
  <c r="C9" i="8"/>
  <c r="C4" i="5" l="1"/>
  <c r="C6" i="5" s="1"/>
  <c r="C9" i="5" s="1"/>
  <c r="C12" i="5" s="1"/>
  <c r="C15" i="5" s="1"/>
  <c r="C19" i="5" s="1"/>
  <c r="C21" i="9"/>
  <c r="C18" i="9"/>
  <c r="C15" i="9"/>
  <c r="C6" i="9"/>
  <c r="C28" i="8"/>
  <c r="C22" i="8"/>
  <c r="C34" i="8"/>
  <c r="C46" i="8"/>
  <c r="H9" i="8"/>
  <c r="G4" i="5"/>
  <c r="G6" i="5" s="1"/>
  <c r="G45" i="8"/>
  <c r="G18" i="5" s="1"/>
  <c r="G21" i="6" s="1"/>
  <c r="G27" i="8"/>
  <c r="G11" i="5" s="1"/>
  <c r="G21" i="8"/>
  <c r="G33" i="8"/>
  <c r="G14" i="5" s="1"/>
  <c r="G9" i="6" s="1"/>
  <c r="D4" i="5"/>
  <c r="D6" i="5" s="1"/>
  <c r="D9" i="5" s="1"/>
  <c r="D12" i="5" s="1"/>
  <c r="D15" i="5" s="1"/>
  <c r="D15" i="9"/>
  <c r="D21" i="9"/>
  <c r="D18" i="9"/>
  <c r="D6" i="9"/>
  <c r="D46" i="8"/>
  <c r="D34" i="8"/>
  <c r="D22" i="8"/>
  <c r="D28" i="8"/>
  <c r="E4" i="5"/>
  <c r="E6" i="5" s="1"/>
  <c r="E9" i="5" s="1"/>
  <c r="E12" i="5" s="1"/>
  <c r="E15" i="5" s="1"/>
  <c r="E15" i="9"/>
  <c r="E21" i="9"/>
  <c r="E18" i="9"/>
  <c r="E6" i="9"/>
  <c r="E22" i="8"/>
  <c r="E34" i="8"/>
  <c r="E28" i="8"/>
  <c r="E46" i="8"/>
  <c r="J39" i="8"/>
  <c r="I17" i="5"/>
  <c r="I25" i="6" s="1"/>
  <c r="D10" i="8"/>
  <c r="I15" i="8"/>
  <c r="H5" i="5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D4" i="6" l="1"/>
  <c r="D19" i="5"/>
  <c r="J18" i="9"/>
  <c r="I18" i="9"/>
  <c r="H18" i="9"/>
  <c r="H17" i="9" s="1"/>
  <c r="H10" i="7" s="1"/>
  <c r="K18" i="9"/>
  <c r="G18" i="9"/>
  <c r="G17" i="9" s="1"/>
  <c r="G10" i="7" s="1"/>
  <c r="K15" i="9"/>
  <c r="G15" i="9"/>
  <c r="G14" i="9" s="1"/>
  <c r="G5" i="7" s="1"/>
  <c r="J15" i="9"/>
  <c r="I15" i="9"/>
  <c r="I14" i="9" s="1"/>
  <c r="I5" i="7" s="1"/>
  <c r="H15" i="9"/>
  <c r="H14" i="9" s="1"/>
  <c r="H5" i="7" s="1"/>
  <c r="K39" i="8"/>
  <c r="K17" i="5" s="1"/>
  <c r="K25" i="6" s="1"/>
  <c r="J17" i="5"/>
  <c r="J25" i="6" s="1"/>
  <c r="G8" i="5"/>
  <c r="G9" i="5" s="1"/>
  <c r="G12" i="5" s="1"/>
  <c r="G15" i="5" s="1"/>
  <c r="G11" i="9"/>
  <c r="G16" i="7" s="1"/>
  <c r="G8" i="9"/>
  <c r="G8" i="7" s="1"/>
  <c r="G12" i="6" s="1"/>
  <c r="I9" i="8"/>
  <c r="H4" i="5"/>
  <c r="H6" i="5" s="1"/>
  <c r="H45" i="8"/>
  <c r="H18" i="5" s="1"/>
  <c r="H21" i="6" s="1"/>
  <c r="H27" i="8"/>
  <c r="H11" i="5" s="1"/>
  <c r="H21" i="8"/>
  <c r="H33" i="8"/>
  <c r="H14" i="5" s="1"/>
  <c r="H9" i="6" s="1"/>
  <c r="I21" i="9"/>
  <c r="I20" i="9" s="1"/>
  <c r="I17" i="7" s="1"/>
  <c r="H21" i="9"/>
  <c r="H20" i="9" s="1"/>
  <c r="H17" i="7" s="1"/>
  <c r="K21" i="9"/>
  <c r="G21" i="9"/>
  <c r="G20" i="9" s="1"/>
  <c r="G17" i="7" s="1"/>
  <c r="J21" i="9"/>
  <c r="J15" i="8"/>
  <c r="I5" i="5"/>
  <c r="H6" i="9"/>
  <c r="H5" i="9" s="1"/>
  <c r="H9" i="7" s="1"/>
  <c r="H13" i="6" s="1"/>
  <c r="I6" i="9"/>
  <c r="I5" i="9" s="1"/>
  <c r="I9" i="7" s="1"/>
  <c r="K6" i="9"/>
  <c r="G6" i="9"/>
  <c r="G5" i="9" s="1"/>
  <c r="G9" i="7" s="1"/>
  <c r="G13" i="6" s="1"/>
  <c r="J6" i="9"/>
  <c r="E19" i="5"/>
  <c r="E4" i="6"/>
  <c r="C24" i="5"/>
  <c r="C22" i="5"/>
  <c r="C52" i="8" s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19" i="5" l="1"/>
  <c r="G4" i="6"/>
  <c r="G16" i="6"/>
  <c r="H8" i="5"/>
  <c r="H8" i="9"/>
  <c r="H8" i="7" s="1"/>
  <c r="H12" i="6" s="1"/>
  <c r="H11" i="9"/>
  <c r="H16" i="7" s="1"/>
  <c r="J9" i="8"/>
  <c r="J5" i="9" s="1"/>
  <c r="J9" i="7" s="1"/>
  <c r="J13" i="6" s="1"/>
  <c r="I4" i="5"/>
  <c r="I6" i="5" s="1"/>
  <c r="I45" i="8"/>
  <c r="I18" i="5" s="1"/>
  <c r="I21" i="6" s="1"/>
  <c r="I27" i="8"/>
  <c r="I11" i="5" s="1"/>
  <c r="I21" i="8"/>
  <c r="I33" i="8"/>
  <c r="I14" i="5" s="1"/>
  <c r="I9" i="6" s="1"/>
  <c r="H9" i="5"/>
  <c r="H12" i="5" s="1"/>
  <c r="H15" i="5" s="1"/>
  <c r="G15" i="6"/>
  <c r="G18" i="6"/>
  <c r="H16" i="6"/>
  <c r="D24" i="5"/>
  <c r="D22" i="5"/>
  <c r="K15" i="8"/>
  <c r="K5" i="5" s="1"/>
  <c r="J5" i="5"/>
  <c r="E24" i="5"/>
  <c r="E22" i="5"/>
  <c r="I13" i="6"/>
  <c r="J20" i="9"/>
  <c r="J17" i="7" s="1"/>
  <c r="G14" i="6"/>
  <c r="H18" i="6"/>
  <c r="I17" i="9"/>
  <c r="I10" i="7" s="1"/>
  <c r="I16" i="6" s="1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I8" i="5" l="1"/>
  <c r="I11" i="9"/>
  <c r="I16" i="7" s="1"/>
  <c r="I8" i="9"/>
  <c r="I8" i="7" s="1"/>
  <c r="D28" i="6"/>
  <c r="D23" i="7"/>
  <c r="D26" i="7" s="1"/>
  <c r="E52" i="8"/>
  <c r="E6" i="6"/>
  <c r="E5" i="6" s="1"/>
  <c r="H14" i="6"/>
  <c r="J17" i="9"/>
  <c r="J10" i="7" s="1"/>
  <c r="J16" i="6" s="1"/>
  <c r="H19" i="5"/>
  <c r="H4" i="6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I18" i="6"/>
  <c r="E28" i="6"/>
  <c r="E23" i="7"/>
  <c r="E26" i="7" s="1"/>
  <c r="D52" i="8"/>
  <c r="D6" i="6"/>
  <c r="D5" i="6" s="1"/>
  <c r="J14" i="9"/>
  <c r="J5" i="7" s="1"/>
  <c r="H15" i="6"/>
  <c r="G5" i="6"/>
  <c r="G26" i="6" s="1"/>
  <c r="I9" i="5"/>
  <c r="I12" i="5" s="1"/>
  <c r="I15" i="5" s="1"/>
  <c r="G24" i="5"/>
  <c r="G21" i="7" s="1"/>
  <c r="G21" i="5"/>
  <c r="D19" i="3"/>
  <c r="F19" i="3"/>
  <c r="L19" i="3"/>
  <c r="J19" i="3"/>
  <c r="K19" i="3"/>
  <c r="E19" i="3"/>
  <c r="G28" i="6" l="1"/>
  <c r="G23" i="7"/>
  <c r="H7" i="6"/>
  <c r="H10" i="6" s="1"/>
  <c r="H23" i="6" s="1"/>
  <c r="H5" i="6"/>
  <c r="G7" i="6"/>
  <c r="H21" i="5"/>
  <c r="H24" i="5" s="1"/>
  <c r="H21" i="7" s="1"/>
  <c r="E7" i="6"/>
  <c r="E10" i="6" s="1"/>
  <c r="E23" i="6" s="1"/>
  <c r="E26" i="6"/>
  <c r="I12" i="6"/>
  <c r="D26" i="6"/>
  <c r="D7" i="6"/>
  <c r="D10" i="6" s="1"/>
  <c r="D23" i="6" s="1"/>
  <c r="I14" i="6"/>
  <c r="I19" i="5"/>
  <c r="I4" i="6"/>
  <c r="J18" i="6"/>
  <c r="J8" i="5"/>
  <c r="J9" i="5" s="1"/>
  <c r="J12" i="5" s="1"/>
  <c r="J15" i="5" s="1"/>
  <c r="J11" i="9"/>
  <c r="J16" i="7" s="1"/>
  <c r="J8" i="9"/>
  <c r="J8" i="7" s="1"/>
  <c r="J12" i="6" s="1"/>
  <c r="K4" i="5"/>
  <c r="K6" i="5" s="1"/>
  <c r="K45" i="8"/>
  <c r="K18" i="5" s="1"/>
  <c r="K21" i="6" s="1"/>
  <c r="K27" i="8"/>
  <c r="K11" i="5" s="1"/>
  <c r="K33" i="8"/>
  <c r="K14" i="5" s="1"/>
  <c r="K9" i="6" s="1"/>
  <c r="K21" i="8"/>
  <c r="K14" i="9"/>
  <c r="K5" i="7" s="1"/>
  <c r="K20" i="9"/>
  <c r="K17" i="7" s="1"/>
  <c r="K17" i="9"/>
  <c r="K10" i="7" s="1"/>
  <c r="K16" i="6" s="1"/>
  <c r="K5" i="9"/>
  <c r="K9" i="7" s="1"/>
  <c r="K13" i="6" s="1"/>
  <c r="L22" i="3"/>
  <c r="K22" i="3"/>
  <c r="J22" i="3"/>
  <c r="J19" i="5" l="1"/>
  <c r="J4" i="6"/>
  <c r="H28" i="6"/>
  <c r="H23" i="7"/>
  <c r="J14" i="6"/>
  <c r="I7" i="6"/>
  <c r="I5" i="6"/>
  <c r="I15" i="6"/>
  <c r="J15" i="6"/>
  <c r="H8" i="11"/>
  <c r="H11" i="11" s="1"/>
  <c r="I24" i="5"/>
  <c r="I21" i="7" s="1"/>
  <c r="I21" i="5"/>
  <c r="I26" i="6" s="1"/>
  <c r="D30" i="6"/>
  <c r="D33" i="6" s="1"/>
  <c r="D36" i="6" s="1"/>
  <c r="D8" i="11"/>
  <c r="G10" i="6"/>
  <c r="G23" i="6" s="1"/>
  <c r="G30" i="6" s="1"/>
  <c r="K18" i="6"/>
  <c r="K8" i="5"/>
  <c r="K9" i="5" s="1"/>
  <c r="K12" i="5" s="1"/>
  <c r="K15" i="5" s="1"/>
  <c r="K11" i="9"/>
  <c r="K16" i="7" s="1"/>
  <c r="K8" i="9"/>
  <c r="K8" i="7" s="1"/>
  <c r="K12" i="6" s="1"/>
  <c r="E8" i="11"/>
  <c r="E30" i="6"/>
  <c r="E33" i="6" s="1"/>
  <c r="E36" i="6" s="1"/>
  <c r="H26" i="6"/>
  <c r="H30" i="6" s="1"/>
  <c r="I28" i="6" l="1"/>
  <c r="I23" i="7"/>
  <c r="K19" i="5"/>
  <c r="K4" i="6"/>
  <c r="I8" i="11"/>
  <c r="I11" i="11" s="1"/>
  <c r="I10" i="6"/>
  <c r="I23" i="6" s="1"/>
  <c r="I30" i="6" s="1"/>
  <c r="G12" i="7"/>
  <c r="G33" i="6"/>
  <c r="G8" i="11"/>
  <c r="G11" i="11" s="1"/>
  <c r="J7" i="6"/>
  <c r="J10" i="6" s="1"/>
  <c r="J23" i="6" s="1"/>
  <c r="J5" i="6"/>
  <c r="K14" i="6"/>
  <c r="K15" i="6" s="1"/>
  <c r="J24" i="5"/>
  <c r="J21" i="7" s="1"/>
  <c r="J21" i="5"/>
  <c r="J28" i="6" l="1"/>
  <c r="J23" i="7"/>
  <c r="G36" i="6"/>
  <c r="J26" i="6"/>
  <c r="H32" i="6"/>
  <c r="H33" i="6" s="1"/>
  <c r="G35" i="6"/>
  <c r="H12" i="7"/>
  <c r="G14" i="7"/>
  <c r="G26" i="7" s="1"/>
  <c r="K7" i="6"/>
  <c r="K10" i="6" s="1"/>
  <c r="K23" i="6" s="1"/>
  <c r="K5" i="6"/>
  <c r="J8" i="11"/>
  <c r="J11" i="11" s="1"/>
  <c r="J30" i="6"/>
  <c r="K24" i="5"/>
  <c r="K21" i="7" s="1"/>
  <c r="K21" i="5"/>
  <c r="K28" i="6" l="1"/>
  <c r="K23" i="7"/>
  <c r="K26" i="6"/>
  <c r="K30" i="6" s="1"/>
  <c r="K8" i="11"/>
  <c r="I32" i="6"/>
  <c r="I33" i="6" s="1"/>
  <c r="I12" i="7"/>
  <c r="H35" i="6"/>
  <c r="H36" i="6" s="1"/>
  <c r="H14" i="7"/>
  <c r="H26" i="7" s="1"/>
  <c r="C16" i="11" l="1"/>
  <c r="C17" i="11" s="1"/>
  <c r="K11" i="11"/>
  <c r="C15" i="11" s="1"/>
  <c r="J32" i="6"/>
  <c r="J33" i="6" s="1"/>
  <c r="J12" i="7"/>
  <c r="I35" i="6"/>
  <c r="I36" i="6" s="1"/>
  <c r="I14" i="7"/>
  <c r="I26" i="7" s="1"/>
  <c r="J35" i="6" l="1"/>
  <c r="J36" i="6" s="1"/>
  <c r="K32" i="6"/>
  <c r="K33" i="6" s="1"/>
  <c r="K12" i="7"/>
  <c r="J14" i="7"/>
  <c r="J26" i="7" s="1"/>
  <c r="C18" i="11"/>
  <c r="E15" i="11" s="1"/>
  <c r="E17" i="11"/>
  <c r="K35" i="6" l="1"/>
  <c r="K36" i="6" s="1"/>
  <c r="K14" i="7"/>
  <c r="K26" i="7" s="1"/>
</calcChain>
</file>

<file path=xl/sharedStrings.xml><?xml version="1.0" encoding="utf-8"?>
<sst xmlns="http://schemas.openxmlformats.org/spreadsheetml/2006/main" count="304" uniqueCount="154">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</sst>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4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0" fontId="63" fillId="49" borderId="0" xfId="134" applyNumberFormat="1" applyFont="1" applyFill="1" applyBorder="1" applyAlignment="1">
      <alignment horizontal="center"/>
    </xf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6" t="s">
        <v>26</v>
      </c>
    </row>
    <row r="7" spans="2:3">
      <c r="B7" s="29">
        <f t="shared" ref="B7:B21" si="0">B6+1</f>
        <v>3</v>
      </c>
      <c r="C7" s="66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6" t="s">
        <v>6</v>
      </c>
    </row>
    <row r="10" spans="2:3">
      <c r="B10" s="29">
        <f t="shared" si="0"/>
        <v>6</v>
      </c>
      <c r="C10" s="66" t="s">
        <v>25</v>
      </c>
    </row>
    <row r="11" spans="2:3">
      <c r="B11" s="29">
        <f t="shared" si="0"/>
        <v>7</v>
      </c>
      <c r="C11" s="66" t="s">
        <v>28</v>
      </c>
    </row>
    <row r="12" spans="2:3">
      <c r="B12" s="29">
        <f t="shared" si="0"/>
        <v>8</v>
      </c>
      <c r="C12" s="66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6" t="s">
        <v>72</v>
      </c>
    </row>
    <row r="15" spans="2:3">
      <c r="B15" s="29">
        <f t="shared" si="0"/>
        <v>11</v>
      </c>
      <c r="C15" s="66" t="s">
        <v>69</v>
      </c>
    </row>
    <row r="16" spans="2:3">
      <c r="B16" s="29">
        <f t="shared" si="0"/>
        <v>12</v>
      </c>
      <c r="C16" s="66" t="s">
        <v>73</v>
      </c>
    </row>
    <row r="17" spans="2:3">
      <c r="B17" s="29">
        <f t="shared" si="0"/>
        <v>13</v>
      </c>
      <c r="C17" s="66" t="s">
        <v>74</v>
      </c>
    </row>
    <row r="18" spans="2:3">
      <c r="B18" s="29">
        <f t="shared" si="0"/>
        <v>14</v>
      </c>
      <c r="C18" s="66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6" t="s">
        <v>1</v>
      </c>
    </row>
    <row r="21" spans="2:3">
      <c r="B21" s="29">
        <f t="shared" si="0"/>
        <v>17</v>
      </c>
      <c r="C21" s="66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P26" sqref="P2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0"/>
      <c r="D11" s="70"/>
      <c r="E11" s="7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0"/>
      <c r="D12" s="70"/>
      <c r="E12" s="7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0"/>
      <c r="D13" s="70"/>
      <c r="E13" s="7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0"/>
      <c r="D17" s="70"/>
      <c r="E17" s="70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0"/>
      <c r="D18" s="70"/>
      <c r="E18" s="70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0"/>
      <c r="D19" s="70"/>
      <c r="E19" s="70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0"/>
      <c r="D23" s="70"/>
      <c r="E23" s="70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0"/>
      <c r="D24" s="70"/>
      <c r="E24" s="70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0"/>
      <c r="D25" s="70"/>
      <c r="E25" s="70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0"/>
      <c r="D29" s="70"/>
      <c r="E29" s="70"/>
      <c r="G29" s="71">
        <v>-0.1</v>
      </c>
      <c r="H29" s="71">
        <v>-0.1</v>
      </c>
      <c r="I29" s="71">
        <v>-0.1</v>
      </c>
      <c r="J29" s="71">
        <v>-0.1</v>
      </c>
      <c r="K29" s="71">
        <v>-0.1</v>
      </c>
    </row>
    <row r="30" spans="2:11" ht="12" customHeight="1">
      <c r="B30" s="7" t="s">
        <v>89</v>
      </c>
      <c r="C30" s="70"/>
      <c r="D30" s="70"/>
      <c r="E30" s="70"/>
      <c r="G30" s="71">
        <v>-0.105</v>
      </c>
      <c r="H30" s="71">
        <v>-0.105</v>
      </c>
      <c r="I30" s="71">
        <v>-0.105</v>
      </c>
      <c r="J30" s="71">
        <v>-0.105</v>
      </c>
      <c r="K30" s="71">
        <v>-0.105</v>
      </c>
    </row>
    <row r="31" spans="2:11" ht="12" customHeight="1">
      <c r="B31" s="7" t="s">
        <v>90</v>
      </c>
      <c r="C31" s="70"/>
      <c r="D31" s="70"/>
      <c r="E31" s="70"/>
      <c r="G31" s="71">
        <v>-0.11</v>
      </c>
      <c r="H31" s="71">
        <v>-0.11</v>
      </c>
      <c r="I31" s="71">
        <v>-0.11</v>
      </c>
      <c r="J31" s="71">
        <v>-0.11</v>
      </c>
      <c r="K31" s="71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0"/>
      <c r="D35" s="70"/>
      <c r="E35" s="70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0"/>
      <c r="D36" s="70"/>
      <c r="E36" s="70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0"/>
      <c r="D37" s="70"/>
      <c r="E37" s="70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0"/>
      <c r="D41" s="70"/>
      <c r="E41" s="70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0"/>
      <c r="D42" s="70"/>
      <c r="E42" s="70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0"/>
      <c r="D43" s="70"/>
      <c r="E43" s="70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0"/>
      <c r="D47" s="70"/>
      <c r="E47" s="70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0"/>
      <c r="D48" s="70"/>
      <c r="E48" s="70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0"/>
      <c r="D49" s="70"/>
      <c r="E49" s="70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0"/>
      <c r="D53" s="70"/>
      <c r="E53" s="70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0"/>
      <c r="D54" s="70"/>
      <c r="E54" s="70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0"/>
      <c r="D55" s="70"/>
      <c r="E55" s="70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2">
        <f>AVERAGE($C15:$E15)</f>
        <v>0.26133219592352436</v>
      </c>
      <c r="H15" s="72">
        <f t="shared" ref="H15:K15" si="3">AVERAGE($C15:$E15)</f>
        <v>0.26133219592352436</v>
      </c>
      <c r="I15" s="72">
        <f t="shared" si="3"/>
        <v>0.26133219592352436</v>
      </c>
      <c r="J15" s="72">
        <f t="shared" si="3"/>
        <v>0.26133219592352436</v>
      </c>
      <c r="K15" s="72">
        <f t="shared" si="3"/>
        <v>0.26133219592352436</v>
      </c>
    </row>
    <row r="16" spans="2:11">
      <c r="C16" s="13"/>
      <c r="D16" s="13"/>
      <c r="E16" s="13"/>
      <c r="G16" s="73"/>
      <c r="H16" s="73"/>
      <c r="I16" s="73"/>
      <c r="J16" s="73"/>
      <c r="K16" s="73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2">
        <f>AVERAGE($C18:$E18)</f>
        <v>6.4866273263650964E-2</v>
      </c>
      <c r="H18" s="72">
        <f t="shared" ref="H18:K18" si="4">AVERAGE($C18:$E18)</f>
        <v>6.4866273263650964E-2</v>
      </c>
      <c r="I18" s="72">
        <f t="shared" si="4"/>
        <v>6.4866273263650964E-2</v>
      </c>
      <c r="J18" s="72">
        <f t="shared" si="4"/>
        <v>6.4866273263650964E-2</v>
      </c>
      <c r="K18" s="72">
        <f t="shared" si="4"/>
        <v>6.4866273263650964E-2</v>
      </c>
    </row>
    <row r="19" spans="2:11">
      <c r="C19" s="13"/>
      <c r="D19" s="13"/>
      <c r="E19" s="13"/>
      <c r="G19" s="73"/>
      <c r="H19" s="73"/>
      <c r="I19" s="73"/>
      <c r="J19" s="73"/>
      <c r="K19" s="73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2">
        <f>AVERAGE($C21:$E21)</f>
        <v>3.5034261583131034E-2</v>
      </c>
      <c r="H21" s="72">
        <f t="shared" ref="H21:K21" si="5">AVERAGE($C21:$E21)</f>
        <v>3.5034261583131034E-2</v>
      </c>
      <c r="I21" s="72">
        <f t="shared" si="5"/>
        <v>3.5034261583131034E-2</v>
      </c>
      <c r="J21" s="72">
        <f t="shared" si="5"/>
        <v>3.5034261583131034E-2</v>
      </c>
      <c r="K21" s="72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H1" sqref="H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6" t="s">
        <v>101</v>
      </c>
      <c r="C6" s="77">
        <f>+C4+C5</f>
        <v>180723</v>
      </c>
      <c r="D6" s="77">
        <f>+D4+D5</f>
        <v>191034</v>
      </c>
      <c r="E6" s="77">
        <f>+E4+E5</f>
        <v>210951</v>
      </c>
      <c r="F6" s="78"/>
      <c r="G6" s="79">
        <f t="shared" ref="G6:K6" si="0">+G4+G5</f>
        <v>231787.6</v>
      </c>
      <c r="H6" s="79">
        <f t="shared" si="0"/>
        <v>254707.86000000002</v>
      </c>
      <c r="I6" s="79">
        <f t="shared" si="0"/>
        <v>279920.14600000007</v>
      </c>
      <c r="J6" s="79">
        <f t="shared" si="0"/>
        <v>307653.66060000012</v>
      </c>
      <c r="K6" s="79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6" t="s">
        <v>102</v>
      </c>
      <c r="C9" s="77">
        <f>+C6+C8</f>
        <v>38328.632533333293</v>
      </c>
      <c r="D9" s="77">
        <f>+D6+D8</f>
        <v>40461.833600000013</v>
      </c>
      <c r="E9" s="77">
        <f>+E6+E8</f>
        <v>53427.881574603001</v>
      </c>
      <c r="F9" s="78"/>
      <c r="G9" s="79">
        <f t="shared" ref="G9:K9" si="1">+G6+G8</f>
        <v>57593.624000000011</v>
      </c>
      <c r="H9" s="79">
        <f t="shared" si="1"/>
        <v>63094.486399999994</v>
      </c>
      <c r="I9" s="79">
        <f t="shared" si="1"/>
        <v>69145.435040000011</v>
      </c>
      <c r="J9" s="79">
        <f t="shared" si="1"/>
        <v>75801.478544000012</v>
      </c>
      <c r="K9" s="79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6" t="s">
        <v>14</v>
      </c>
      <c r="C12" s="77">
        <f>+C9+C11</f>
        <v>20317.317333333289</v>
      </c>
      <c r="D12" s="77">
        <f>+D9+D11</f>
        <v>21213.936000000016</v>
      </c>
      <c r="E12" s="77">
        <f>+E9+E11</f>
        <v>29560.873574602992</v>
      </c>
      <c r="F12" s="78"/>
      <c r="G12" s="79">
        <f t="shared" ref="G12:K12" si="2">+G9+G11</f>
        <v>34673.364000000009</v>
      </c>
      <c r="H12" s="79">
        <f t="shared" si="2"/>
        <v>37882.200399999987</v>
      </c>
      <c r="I12" s="79">
        <f t="shared" si="2"/>
        <v>41411.920440000002</v>
      </c>
      <c r="J12" s="79">
        <f t="shared" si="2"/>
        <v>45294.612483999997</v>
      </c>
      <c r="K12" s="79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6" t="s">
        <v>16</v>
      </c>
      <c r="C15" s="77">
        <f>+C12+C14</f>
        <v>17409.51733333329</v>
      </c>
      <c r="D15" s="77">
        <f>+D12+D14</f>
        <v>16564.136000000017</v>
      </c>
      <c r="E15" s="77">
        <f>+E12+E14</f>
        <v>23130.213574602993</v>
      </c>
      <c r="F15" s="78"/>
      <c r="G15" s="79">
        <f t="shared" ref="G15:K15" si="3">+G12+G14</f>
        <v>30089.312000000009</v>
      </c>
      <c r="H15" s="79">
        <f t="shared" si="3"/>
        <v>32839.743199999983</v>
      </c>
      <c r="I15" s="79">
        <f t="shared" si="3"/>
        <v>35865.217519999998</v>
      </c>
      <c r="J15" s="79">
        <f t="shared" si="3"/>
        <v>39193.239271999992</v>
      </c>
      <c r="K15" s="79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6" t="s">
        <v>19</v>
      </c>
      <c r="C19" s="77">
        <f>+C15+C17+C18</f>
        <v>15825.63733333329</v>
      </c>
      <c r="D19" s="77">
        <f>+D15+D17+D18</f>
        <v>13508.936000000018</v>
      </c>
      <c r="E19" s="77">
        <f>+E15+E17+E18</f>
        <v>20146.033574602992</v>
      </c>
      <c r="F19" s="78"/>
      <c r="G19" s="79">
        <f t="shared" ref="G19:K19" si="4">+G15+G17+G18</f>
        <v>27425.392000000007</v>
      </c>
      <c r="H19" s="79">
        <f t="shared" si="4"/>
        <v>30175.823199999984</v>
      </c>
      <c r="I19" s="79">
        <f t="shared" si="4"/>
        <v>33201.29752</v>
      </c>
      <c r="J19" s="79">
        <f t="shared" si="4"/>
        <v>36529.319271999993</v>
      </c>
      <c r="K19" s="79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0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4" t="s">
        <v>24</v>
      </c>
      <c r="C24" s="75">
        <f>+C19+C21</f>
        <v>12019.861333333291</v>
      </c>
      <c r="D24" s="75">
        <f>+D19+D21</f>
        <v>10458.744000000017</v>
      </c>
      <c r="E24" s="75">
        <f>+E19+E21</f>
        <v>16331.153574602991</v>
      </c>
      <c r="F24" s="75"/>
      <c r="G24" s="75">
        <f t="shared" ref="G24:K24" si="7">+G19+G21</f>
        <v>22488.821440000007</v>
      </c>
      <c r="H24" s="75">
        <f t="shared" si="7"/>
        <v>24744.175023999989</v>
      </c>
      <c r="I24" s="75">
        <f t="shared" si="7"/>
        <v>27225.063966400001</v>
      </c>
      <c r="J24" s="75">
        <f t="shared" si="7"/>
        <v>29954.041803039996</v>
      </c>
      <c r="K24" s="75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1" t="s">
        <v>37</v>
      </c>
      <c r="C14" s="82">
        <f>SUM(C4:C12)</f>
        <v>144575.6</v>
      </c>
      <c r="D14" s="82">
        <f t="shared" ref="D14:E14" si="2">SUM(D4:D12)</f>
        <v>170464.2</v>
      </c>
      <c r="E14" s="82">
        <f t="shared" si="2"/>
        <v>187652.19999999998</v>
      </c>
      <c r="F14" s="83"/>
      <c r="G14" s="84">
        <f t="shared" ref="G14:K14" si="3">SUM(G4:G12)</f>
        <v>213527.50694734912</v>
      </c>
      <c r="H14" s="84">
        <f t="shared" si="3"/>
        <v>243076.63516462373</v>
      </c>
      <c r="I14" s="84">
        <f t="shared" si="3"/>
        <v>275587.14764362579</v>
      </c>
      <c r="J14" s="84">
        <f t="shared" si="3"/>
        <v>311355.18281052809</v>
      </c>
      <c r="K14" s="84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1" t="s">
        <v>109</v>
      </c>
      <c r="C23" s="82">
        <f>+SUM(C16:C21)</f>
        <v>144575.59999999998</v>
      </c>
      <c r="D23" s="82">
        <f t="shared" ref="D23:E23" si="5">+SUM(D16:D21)</f>
        <v>170464.2</v>
      </c>
      <c r="E23" s="82">
        <f t="shared" si="5"/>
        <v>187652.2</v>
      </c>
      <c r="F23" s="83"/>
      <c r="G23" s="84">
        <f t="shared" ref="G23:K23" si="6">+SUM(G16:G21)</f>
        <v>213527.50694734915</v>
      </c>
      <c r="H23" s="84">
        <f t="shared" si="6"/>
        <v>243076.63516462376</v>
      </c>
      <c r="I23" s="84">
        <f t="shared" si="6"/>
        <v>275587.14764362585</v>
      </c>
      <c r="J23" s="84">
        <f t="shared" si="6"/>
        <v>311355.18281052809</v>
      </c>
      <c r="K23" s="84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>
      <selection activeCell="I16" sqref="I16:I17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6" t="s">
        <v>115</v>
      </c>
      <c r="C7" s="76"/>
      <c r="D7" s="77">
        <f>SUM(D4:D5)</f>
        <v>12824.108279525808</v>
      </c>
      <c r="E7" s="77">
        <f>SUM(E4:E5)</f>
        <v>18750.245238169784</v>
      </c>
      <c r="F7" s="85"/>
      <c r="G7" s="86">
        <f>SUM(G4:G5)</f>
        <v>24673.235840000008</v>
      </c>
      <c r="H7" s="86">
        <f>SUM(H4:H5)</f>
        <v>26928.589423999987</v>
      </c>
      <c r="I7" s="86">
        <f>SUM(I4:I5)</f>
        <v>29409.478366399999</v>
      </c>
      <c r="J7" s="86">
        <f>SUM(J4:J5)</f>
        <v>32138.456203039994</v>
      </c>
      <c r="K7" s="86">
        <f>SUM(K4:K5)</f>
        <v>35140.331823344008</v>
      </c>
      <c r="L7" s="45"/>
      <c r="M7" s="11" t="s">
        <v>123</v>
      </c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 t="s">
        <v>106</v>
      </c>
      <c r="K8" s="37"/>
      <c r="L8" s="45"/>
      <c r="N8" s="45"/>
      <c r="O8" s="45"/>
    </row>
    <row r="9" spans="2:15">
      <c r="B9" s="45" t="s">
        <v>152</v>
      </c>
      <c r="C9" s="45" t="s">
        <v>6</v>
      </c>
      <c r="D9" s="46">
        <f>-'P&amp;L'!D14</f>
        <v>4649.8</v>
      </c>
      <c r="E9" s="46">
        <f>-'P&amp;L'!E14</f>
        <v>6430.6600000000008</v>
      </c>
      <c r="F9" s="45"/>
      <c r="G9" s="36">
        <f>-'P&amp;L'!G14</f>
        <v>4584.0520000000006</v>
      </c>
      <c r="H9" s="36">
        <f>-'P&amp;L'!H14</f>
        <v>5042.4572000000007</v>
      </c>
      <c r="I9" s="36">
        <f>-'P&amp;L'!I14</f>
        <v>5546.7029200000015</v>
      </c>
      <c r="J9" s="36">
        <f>-'P&amp;L'!J14</f>
        <v>6101.3732120000022</v>
      </c>
      <c r="K9" s="36">
        <f>-'P&amp;L'!K14</f>
        <v>6711.510533200003</v>
      </c>
      <c r="L9" s="45"/>
      <c r="N9" s="45"/>
      <c r="O9" s="45"/>
    </row>
    <row r="10" spans="2:15">
      <c r="B10" s="76" t="s">
        <v>153</v>
      </c>
      <c r="C10" s="76"/>
      <c r="D10" s="77">
        <f>D7+D9</f>
        <v>17473.908279525807</v>
      </c>
      <c r="E10" s="77">
        <f>E7+E9</f>
        <v>25180.905238169784</v>
      </c>
      <c r="F10" s="85"/>
      <c r="G10" s="86">
        <f t="shared" ref="G10:K10" si="0">G7+G9</f>
        <v>29257.287840000008</v>
      </c>
      <c r="H10" s="86">
        <f t="shared" si="0"/>
        <v>31971.046623999988</v>
      </c>
      <c r="I10" s="86">
        <f t="shared" si="0"/>
        <v>34956.181286400002</v>
      </c>
      <c r="J10" s="86">
        <f t="shared" si="0"/>
        <v>38239.829415039996</v>
      </c>
      <c r="K10" s="86">
        <f t="shared" si="0"/>
        <v>41851.84235654401</v>
      </c>
      <c r="L10" s="45"/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6" t="s">
        <v>117</v>
      </c>
      <c r="C15" s="76"/>
      <c r="D15" s="77">
        <f>+SUM(D12:D14)</f>
        <v>-441.60000000000582</v>
      </c>
      <c r="E15" s="77">
        <f>+SUM(E12:E14)</f>
        <v>-5002.7999999999956</v>
      </c>
      <c r="F15" s="85"/>
      <c r="G15" s="86">
        <f>+SUM(G12:G14)</f>
        <v>-5418.8424231633617</v>
      </c>
      <c r="H15" s="86">
        <f>+SUM(H12:H14)</f>
        <v>-5902.2842423163602</v>
      </c>
      <c r="I15" s="86">
        <f>+SUM(I12:I14)</f>
        <v>-6492.5126665479838</v>
      </c>
      <c r="J15" s="86">
        <f>+SUM(J12:J14)</f>
        <v>-7141.7639332027829</v>
      </c>
      <c r="K15" s="86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8"/>
      <c r="H22" s="68"/>
      <c r="I22" s="68"/>
      <c r="J22" s="68"/>
      <c r="K22" s="68"/>
      <c r="L22" s="45"/>
      <c r="N22" s="45"/>
      <c r="O22" s="45"/>
    </row>
    <row r="23" spans="2:15">
      <c r="B23" s="74" t="s">
        <v>122</v>
      </c>
      <c r="C23" s="74"/>
      <c r="D23" s="75">
        <f>SUM(D10,D15,D16,D18,D19,D21)</f>
        <v>3980.52561285912</v>
      </c>
      <c r="E23" s="75">
        <f>SUM(E10,E15,E16,E18,E19,E21)</f>
        <v>2517.8756635668306</v>
      </c>
      <c r="F23" s="74"/>
      <c r="G23" s="75">
        <f t="shared" ref="G23:K23" si="1">SUM(G10,G15,G16,G18,G19,G21)</f>
        <v>17757.353581652882</v>
      </c>
      <c r="H23" s="75">
        <f t="shared" si="1"/>
        <v>14352.745840704949</v>
      </c>
      <c r="I23" s="75">
        <f t="shared" si="1"/>
        <v>15576.050424775463</v>
      </c>
      <c r="J23" s="75">
        <f t="shared" si="1"/>
        <v>16921.685467252995</v>
      </c>
      <c r="K23" s="75">
        <f t="shared" si="1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8"/>
      <c r="H24" s="68"/>
      <c r="I24" s="68"/>
      <c r="J24" s="68"/>
      <c r="K24" s="68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4" t="s">
        <v>132</v>
      </c>
      <c r="C30" s="74"/>
      <c r="D30" s="75">
        <f>SUM(D23,D25,D26,D27,D28)</f>
        <v>7617.6000000000568</v>
      </c>
      <c r="E30" s="75">
        <f>SUM(E23,E25,E26,E27,E28)</f>
        <v>-11235.199999999988</v>
      </c>
      <c r="F30" s="74"/>
      <c r="G30" s="75">
        <f>SUM(G23,G25,G26,G27,G28)</f>
        <v>15572.939181652882</v>
      </c>
      <c r="H30" s="75">
        <f>SUM(H23,H25,H26,H27,H28)</f>
        <v>12168.331440704947</v>
      </c>
      <c r="I30" s="75">
        <f>SUM(I23,I25,I26,I27,I28)</f>
        <v>13391.636024775464</v>
      </c>
      <c r="J30" s="75">
        <f>SUM(J23,J25,J26,J27,J28)</f>
        <v>14737.271067252996</v>
      </c>
      <c r="K30" s="75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4" t="s">
        <v>140</v>
      </c>
      <c r="C32" s="64"/>
      <c r="D32" s="65">
        <f>BS!C12</f>
        <v>11791.199999999999</v>
      </c>
      <c r="E32" s="65">
        <f>BS!D12</f>
        <v>19408.8</v>
      </c>
      <c r="F32" s="65"/>
      <c r="G32" s="65">
        <f>BS!E12</f>
        <v>8173.6</v>
      </c>
      <c r="H32" s="65">
        <f>BS!G12</f>
        <v>23746.539181652883</v>
      </c>
      <c r="I32" s="65">
        <f>BS!H12</f>
        <v>35914.870622357834</v>
      </c>
      <c r="J32" s="65">
        <f>BS!I12</f>
        <v>49306.506647133298</v>
      </c>
      <c r="K32" s="65">
        <f>BS!J12</f>
        <v>64043.777714386291</v>
      </c>
      <c r="L32" s="45"/>
    </row>
    <row r="33" spans="2:12">
      <c r="B33" s="64" t="s">
        <v>141</v>
      </c>
      <c r="C33" s="64"/>
      <c r="D33" s="65">
        <f>D30+D32</f>
        <v>19408.800000000054</v>
      </c>
      <c r="E33" s="65">
        <f>E30+E32</f>
        <v>8173.6000000000113</v>
      </c>
      <c r="F33" s="65"/>
      <c r="G33" s="65">
        <f>G30+G32</f>
        <v>23746.539181652883</v>
      </c>
      <c r="H33" s="65">
        <f>H30+H32</f>
        <v>35914.870622357834</v>
      </c>
      <c r="I33" s="65">
        <f>I30+I32</f>
        <v>49306.506647133298</v>
      </c>
      <c r="J33" s="65">
        <f>J30+J32</f>
        <v>64043.777714386291</v>
      </c>
      <c r="K33" s="65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7" t="s">
        <v>110</v>
      </c>
      <c r="C35" s="87"/>
      <c r="D35" s="88">
        <f>BS!D12</f>
        <v>19408.8</v>
      </c>
      <c r="E35" s="87">
        <f>BS!E12</f>
        <v>8173.6</v>
      </c>
      <c r="F35" s="87"/>
      <c r="G35" s="88">
        <f>BS!G12</f>
        <v>23746.539181652883</v>
      </c>
      <c r="H35" s="88">
        <f>BS!H12</f>
        <v>35914.870622357834</v>
      </c>
      <c r="I35" s="88">
        <f>BS!I12</f>
        <v>49306.506647133298</v>
      </c>
      <c r="J35" s="88">
        <f>BS!J12</f>
        <v>64043.777714386291</v>
      </c>
      <c r="K35" s="88">
        <f>BS!K12</f>
        <v>80261.24732836464</v>
      </c>
      <c r="L35" s="45"/>
    </row>
    <row r="36" spans="2:12" outlineLevel="1">
      <c r="B36" s="89"/>
      <c r="C36" s="89"/>
      <c r="D36" s="90">
        <f>D33-D35</f>
        <v>5.4569682106375694E-11</v>
      </c>
      <c r="E36" s="90">
        <f>E33-E35</f>
        <v>1.0913936421275139E-11</v>
      </c>
      <c r="F36" s="89"/>
      <c r="G36" s="89">
        <f>G33-G35</f>
        <v>0</v>
      </c>
      <c r="H36" s="89">
        <f>H33-H35</f>
        <v>0</v>
      </c>
      <c r="I36" s="89">
        <f>I33-I35</f>
        <v>0</v>
      </c>
      <c r="J36" s="89">
        <f>J33-J35</f>
        <v>0</v>
      </c>
      <c r="K36" s="89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"/>
  <sheetViews>
    <sheetView tabSelected="1" workbookViewId="0">
      <selection activeCell="E20" sqref="E20"/>
    </sheetView>
  </sheetViews>
  <sheetFormatPr defaultRowHeight="12" outlineLevelRow="1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142</v>
      </c>
      <c r="C4" s="91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143</v>
      </c>
      <c r="C5" s="92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17" t="s">
        <v>53</v>
      </c>
      <c r="C7" s="18" t="s">
        <v>54</v>
      </c>
      <c r="D7" s="18" t="s">
        <v>55</v>
      </c>
      <c r="E7" s="18" t="s">
        <v>56</v>
      </c>
      <c r="F7" s="22"/>
      <c r="G7" s="19" t="s">
        <v>57</v>
      </c>
      <c r="H7" s="19" t="s">
        <v>58</v>
      </c>
      <c r="I7" s="19" t="s">
        <v>59</v>
      </c>
      <c r="J7" s="19" t="s">
        <v>60</v>
      </c>
      <c r="K7" s="19" t="s">
        <v>61</v>
      </c>
      <c r="M7" s="23" t="s">
        <v>66</v>
      </c>
      <c r="N7" s="21"/>
      <c r="O7" s="21"/>
      <c r="P7" s="21"/>
      <c r="Q7" s="21"/>
      <c r="R7" s="21"/>
      <c r="S7" s="21"/>
      <c r="T7" s="21"/>
    </row>
    <row r="8" spans="1:20">
      <c r="B8" s="21" t="s">
        <v>122</v>
      </c>
      <c r="C8" s="21"/>
      <c r="D8" s="38">
        <f>'Cash Flow'!D23</f>
        <v>3980.52561285912</v>
      </c>
      <c r="E8" s="38">
        <f>'Cash Flow'!E23</f>
        <v>2517.8756635668306</v>
      </c>
      <c r="F8" s="21"/>
      <c r="G8" s="36">
        <f>'Cash Flow'!G23</f>
        <v>17757.353581652882</v>
      </c>
      <c r="H8" s="36">
        <f>'Cash Flow'!H23</f>
        <v>14352.745840704949</v>
      </c>
      <c r="I8" s="36">
        <f>'Cash Flow'!I23</f>
        <v>15576.050424775463</v>
      </c>
      <c r="J8" s="36">
        <f>'Cash Flow'!J23</f>
        <v>16921.685467252995</v>
      </c>
      <c r="K8" s="36">
        <f>'Cash Flow'!K23</f>
        <v>18401.884013978357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21"/>
      <c r="D9" s="21"/>
      <c r="E9" s="21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144</v>
      </c>
      <c r="C10" s="21"/>
      <c r="D10" s="21"/>
      <c r="E10" s="21"/>
      <c r="F10" s="21"/>
      <c r="G10" s="59">
        <f>1/(1+$C$4)^G6</f>
        <v>0.90909090909090906</v>
      </c>
      <c r="H10" s="59">
        <f t="shared" ref="H10:K10" si="0">1/(1+$C$4)^H6</f>
        <v>0.82644628099173545</v>
      </c>
      <c r="I10" s="59">
        <f t="shared" si="0"/>
        <v>0.75131480090157754</v>
      </c>
      <c r="J10" s="59">
        <f t="shared" si="0"/>
        <v>0.68301345536507052</v>
      </c>
      <c r="K10" s="59">
        <f t="shared" si="0"/>
        <v>0.62092132305915493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6" t="s">
        <v>145</v>
      </c>
      <c r="C11" s="76"/>
      <c r="D11" s="76"/>
      <c r="E11" s="76"/>
      <c r="F11" s="77"/>
      <c r="G11" s="86">
        <f>G10*G8</f>
        <v>16143.048710593528</v>
      </c>
      <c r="H11" s="86">
        <f t="shared" ref="H11:K11" si="1">H10*H8</f>
        <v>11861.773422070204</v>
      </c>
      <c r="I11" s="86">
        <f t="shared" si="1"/>
        <v>11702.517223723109</v>
      </c>
      <c r="J11" s="86">
        <f t="shared" si="1"/>
        <v>11557.738861589367</v>
      </c>
      <c r="K11" s="86">
        <f t="shared" si="1"/>
        <v>11426.122168740554</v>
      </c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93" t="s">
        <v>4</v>
      </c>
      <c r="C14" s="93"/>
      <c r="D14" s="93"/>
      <c r="E14" s="93"/>
      <c r="F14" s="93"/>
      <c r="G14" s="93"/>
      <c r="H14" s="93"/>
      <c r="I14" s="93"/>
      <c r="J14" s="93"/>
      <c r="K14" s="9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146</v>
      </c>
      <c r="C15" s="38">
        <f>SUM(G11:K11)</f>
        <v>62691.200386716766</v>
      </c>
      <c r="D15" s="21" t="s">
        <v>147</v>
      </c>
      <c r="E15" s="60">
        <f>C15/C$18</f>
        <v>0.30085866160702229</v>
      </c>
      <c r="F15" s="61"/>
      <c r="G15" s="39" t="s">
        <v>151</v>
      </c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148</v>
      </c>
      <c r="C16" s="38">
        <f>(K8*(1+C5))/((C4-C5))</f>
        <v>234624.02117822407</v>
      </c>
      <c r="D16" s="21" t="s">
        <v>147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149</v>
      </c>
      <c r="C17" s="38">
        <f>C16*K10</f>
        <v>145683.05765144207</v>
      </c>
      <c r="D17" s="21" t="s">
        <v>147</v>
      </c>
      <c r="E17" s="60">
        <f>C17/C$18</f>
        <v>0.69914133839297776</v>
      </c>
      <c r="F17" s="61"/>
      <c r="G17" s="39" t="s">
        <v>151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76" t="s">
        <v>150</v>
      </c>
      <c r="C18" s="77">
        <f>C17+C15</f>
        <v>208374.25803815882</v>
      </c>
      <c r="D18" s="76" t="s">
        <v>147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21"/>
      <c r="C19" s="38"/>
      <c r="D19" s="21"/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21"/>
      <c r="C20" s="38"/>
      <c r="D20" s="21"/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24"/>
      <c r="C21" s="40"/>
      <c r="D21" s="24"/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41"/>
      <c r="H25" s="63"/>
      <c r="I25" s="63"/>
      <c r="J25" s="63"/>
      <c r="K25" s="63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3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63"/>
      <c r="H27" s="38"/>
      <c r="I27" s="38"/>
      <c r="J27" s="38"/>
      <c r="K27" s="38"/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63"/>
      <c r="H28" s="38"/>
      <c r="I28" s="38"/>
      <c r="J28" s="38"/>
      <c r="K28" s="38"/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63"/>
      <c r="H29" s="38"/>
      <c r="I29" s="38"/>
      <c r="J29" s="38"/>
      <c r="K29" s="38"/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7"/>
      <c r="K5" s="67"/>
      <c r="L5" s="67"/>
      <c r="M5" s="67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2016-06-21T15:04:40Z</dcterms:modified>
</cp:coreProperties>
</file>