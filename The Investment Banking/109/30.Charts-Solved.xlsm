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filterPrivacy="1" codeName="ThisWorkbook" defaultThemeVersion="124226"/>
  <bookViews>
    <workbookView xWindow="240" yWindow="585" windowWidth="14805" windowHeight="7530" firstSheet="5" activeTab="10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externalReferences>
    <externalReference r:id="rId19"/>
  </externalReferences>
  <calcPr calcId="162913"/>
</workbook>
</file>

<file path=xl/calcChain.xml><?xml version="1.0" encoding="utf-8"?>
<calcChain xmlns="http://schemas.openxmlformats.org/spreadsheetml/2006/main">
  <c r="B6" i="19" l="1"/>
  <c r="B5" i="19"/>
  <c r="B4" i="19"/>
  <c r="K3" i="19"/>
  <c r="J3" i="19"/>
  <c r="I3" i="19"/>
  <c r="H3" i="19"/>
  <c r="G3" i="19"/>
  <c r="E3" i="19"/>
  <c r="D3" i="19"/>
  <c r="C3" i="19"/>
  <c r="B3" i="19"/>
  <c r="O4" i="16"/>
  <c r="N4" i="16"/>
  <c r="M4" i="16"/>
  <c r="L4" i="16"/>
  <c r="K4" i="16"/>
  <c r="B4" i="13"/>
  <c r="K3" i="13"/>
  <c r="J3" i="13"/>
  <c r="I3" i="13"/>
  <c r="H3" i="13"/>
  <c r="G3" i="13"/>
  <c r="E3" i="13"/>
  <c r="D3" i="13"/>
  <c r="C3" i="13"/>
  <c r="B3" i="13"/>
  <c r="K10" i="11" l="1"/>
  <c r="J10" i="11"/>
  <c r="I10" i="11"/>
  <c r="H10" i="11"/>
  <c r="G10" i="11"/>
  <c r="I4" i="7" l="1"/>
  <c r="E19" i="7"/>
  <c r="D19" i="7"/>
  <c r="E12" i="7"/>
  <c r="D12" i="7"/>
  <c r="E6" i="7"/>
  <c r="K6" i="7" s="1"/>
  <c r="D6" i="7"/>
  <c r="E4" i="7"/>
  <c r="J4" i="7" s="1"/>
  <c r="D4" i="7"/>
  <c r="C19" i="7"/>
  <c r="C12" i="7"/>
  <c r="D32" i="6" s="1"/>
  <c r="C6" i="7"/>
  <c r="C4" i="7"/>
  <c r="C19" i="11" l="1"/>
  <c r="E27" i="6"/>
  <c r="I19" i="6"/>
  <c r="H6" i="7"/>
  <c r="G19" i="7"/>
  <c r="G27" i="6" s="1"/>
  <c r="K19" i="7"/>
  <c r="D19" i="6"/>
  <c r="E32" i="6"/>
  <c r="D35" i="6"/>
  <c r="I6" i="7"/>
  <c r="H19" i="7"/>
  <c r="H27" i="6" s="1"/>
  <c r="E19" i="6"/>
  <c r="C20" i="11"/>
  <c r="G32" i="6"/>
  <c r="E35" i="6"/>
  <c r="G4" i="7"/>
  <c r="K4" i="7"/>
  <c r="K19" i="6" s="1"/>
  <c r="J6" i="7"/>
  <c r="J19" i="6" s="1"/>
  <c r="I19" i="7"/>
  <c r="I27" i="6" s="1"/>
  <c r="D27" i="6"/>
  <c r="H4" i="7"/>
  <c r="H19" i="6" s="1"/>
  <c r="G6" i="7"/>
  <c r="J19" i="7"/>
  <c r="J27" i="6" s="1"/>
  <c r="K27" i="6" l="1"/>
  <c r="G19" i="6"/>
  <c r="E20" i="9" l="1"/>
  <c r="E17" i="7" s="1"/>
  <c r="D20" i="9"/>
  <c r="D17" i="7" s="1"/>
  <c r="C20" i="9"/>
  <c r="C17" i="7" s="1"/>
  <c r="E17" i="9"/>
  <c r="E10" i="7" s="1"/>
  <c r="D17" i="9"/>
  <c r="D10" i="7" s="1"/>
  <c r="D16" i="6" s="1"/>
  <c r="C17" i="9"/>
  <c r="C10" i="7" s="1"/>
  <c r="E14" i="9"/>
  <c r="E5" i="7" s="1"/>
  <c r="D14" i="9"/>
  <c r="D5" i="7" s="1"/>
  <c r="C14" i="9"/>
  <c r="C5" i="7" s="1"/>
  <c r="E16" i="6" l="1"/>
  <c r="E11" i="9"/>
  <c r="E16" i="7" s="1"/>
  <c r="D11" i="9"/>
  <c r="D16" i="7" s="1"/>
  <c r="C11" i="9"/>
  <c r="C16" i="7" s="1"/>
  <c r="E8" i="9"/>
  <c r="E8" i="7" s="1"/>
  <c r="E14" i="7" s="1"/>
  <c r="D8" i="9"/>
  <c r="D8" i="7" s="1"/>
  <c r="C8" i="9"/>
  <c r="C8" i="7" s="1"/>
  <c r="C4" i="19" s="1"/>
  <c r="E5" i="9"/>
  <c r="E9" i="7" s="1"/>
  <c r="D5" i="9"/>
  <c r="D9" i="7" s="1"/>
  <c r="C5" i="9"/>
  <c r="C9" i="7" s="1"/>
  <c r="C5" i="19" s="1"/>
  <c r="E5" i="19" l="1"/>
  <c r="E13" i="6"/>
  <c r="C6" i="19"/>
  <c r="D6" i="19"/>
  <c r="D14" i="6"/>
  <c r="C7" i="19"/>
  <c r="D4" i="19"/>
  <c r="D12" i="6"/>
  <c r="E6" i="19"/>
  <c r="E14" i="6"/>
  <c r="C14" i="7"/>
  <c r="D14" i="7"/>
  <c r="D5" i="19"/>
  <c r="D13" i="6"/>
  <c r="E4" i="19"/>
  <c r="E7" i="19" s="1"/>
  <c r="E12" i="6"/>
  <c r="E15" i="6" s="1"/>
  <c r="D15" i="6" l="1"/>
  <c r="D7" i="19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6" i="6" l="1"/>
  <c r="K6" i="6"/>
  <c r="I6" i="6"/>
  <c r="J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E8" i="5" l="1"/>
  <c r="E12" i="9"/>
  <c r="E9" i="9"/>
  <c r="C14" i="5"/>
  <c r="D17" i="5"/>
  <c r="D25" i="6" s="1"/>
  <c r="D40" i="8"/>
  <c r="E18" i="5"/>
  <c r="E21" i="6" s="1"/>
  <c r="D8" i="5"/>
  <c r="D9" i="9"/>
  <c r="D10" i="19" s="1"/>
  <c r="D12" i="9"/>
  <c r="D11" i="19" s="1"/>
  <c r="E11" i="5"/>
  <c r="C11" i="5"/>
  <c r="D14" i="5"/>
  <c r="E17" i="5"/>
  <c r="E25" i="6" s="1"/>
  <c r="E40" i="8"/>
  <c r="G39" i="8"/>
  <c r="D18" i="5"/>
  <c r="D21" i="6" s="1"/>
  <c r="C8" i="5"/>
  <c r="C12" i="9"/>
  <c r="C11" i="19" s="1"/>
  <c r="C9" i="9"/>
  <c r="C10" i="19" s="1"/>
  <c r="D11" i="5"/>
  <c r="E14" i="5"/>
  <c r="C18" i="5"/>
  <c r="E15" i="8"/>
  <c r="E16" i="8" s="1"/>
  <c r="D15" i="8"/>
  <c r="D5" i="5" s="1"/>
  <c r="C15" i="8"/>
  <c r="C5" i="5" s="1"/>
  <c r="E9" i="6" l="1"/>
  <c r="E18" i="6"/>
  <c r="E10" i="19"/>
  <c r="I9" i="9"/>
  <c r="I10" i="19" s="1"/>
  <c r="H9" i="9"/>
  <c r="H10" i="19" s="1"/>
  <c r="K9" i="9"/>
  <c r="K10" i="19" s="1"/>
  <c r="G9" i="9"/>
  <c r="G10" i="19" s="1"/>
  <c r="J9" i="9"/>
  <c r="J10" i="19" s="1"/>
  <c r="D16" i="8"/>
  <c r="E5" i="5"/>
  <c r="G15" i="8"/>
  <c r="H39" i="8"/>
  <c r="G17" i="5"/>
  <c r="G25" i="6" s="1"/>
  <c r="E11" i="19"/>
  <c r="H12" i="9"/>
  <c r="H11" i="19" s="1"/>
  <c r="K12" i="9"/>
  <c r="K11" i="19" s="1"/>
  <c r="G12" i="9"/>
  <c r="G11" i="19" s="1"/>
  <c r="J12" i="9"/>
  <c r="J11" i="19" s="1"/>
  <c r="I12" i="9"/>
  <c r="I11" i="19" s="1"/>
  <c r="D9" i="6"/>
  <c r="D18" i="6"/>
  <c r="K10" i="8"/>
  <c r="J10" i="8"/>
  <c r="I10" i="8"/>
  <c r="H10" i="8"/>
  <c r="G10" i="8"/>
  <c r="H17" i="5" l="1"/>
  <c r="H25" i="6" s="1"/>
  <c r="I39" i="8"/>
  <c r="H15" i="8"/>
  <c r="G5" i="5"/>
  <c r="E10" i="8"/>
  <c r="E9" i="8"/>
  <c r="D9" i="8"/>
  <c r="C9" i="8"/>
  <c r="I15" i="8" l="1"/>
  <c r="H5" i="5"/>
  <c r="C4" i="5"/>
  <c r="C21" i="9"/>
  <c r="C18" i="9"/>
  <c r="C15" i="9"/>
  <c r="C6" i="9"/>
  <c r="C9" i="19" s="1"/>
  <c r="C34" i="8"/>
  <c r="C46" i="8"/>
  <c r="C28" i="8"/>
  <c r="C22" i="8"/>
  <c r="E4" i="5"/>
  <c r="E18" i="9"/>
  <c r="E15" i="9"/>
  <c r="E21" i="9"/>
  <c r="E6" i="9"/>
  <c r="E46" i="8"/>
  <c r="E22" i="8"/>
  <c r="E28" i="8"/>
  <c r="E34" i="8"/>
  <c r="G9" i="8"/>
  <c r="D4" i="5"/>
  <c r="D15" i="9"/>
  <c r="D21" i="9"/>
  <c r="D18" i="9"/>
  <c r="D6" i="9"/>
  <c r="D9" i="19" s="1"/>
  <c r="D22" i="8"/>
  <c r="D34" i="8"/>
  <c r="D28" i="8"/>
  <c r="D46" i="8"/>
  <c r="D10" i="8"/>
  <c r="J39" i="8"/>
  <c r="I17" i="5"/>
  <c r="I25" i="6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39" i="8" l="1"/>
  <c r="K17" i="5" s="1"/>
  <c r="K25" i="6" s="1"/>
  <c r="J17" i="5"/>
  <c r="J25" i="6" s="1"/>
  <c r="E9" i="19"/>
  <c r="J6" i="9"/>
  <c r="J9" i="19" s="1"/>
  <c r="I6" i="9"/>
  <c r="I9" i="19" s="1"/>
  <c r="H6" i="9"/>
  <c r="K6" i="9"/>
  <c r="K9" i="19" s="1"/>
  <c r="G6" i="9"/>
  <c r="E4" i="13"/>
  <c r="E6" i="5"/>
  <c r="E9" i="5" s="1"/>
  <c r="E12" i="5" s="1"/>
  <c r="H21" i="9"/>
  <c r="K21" i="9"/>
  <c r="G21" i="9"/>
  <c r="G20" i="9" s="1"/>
  <c r="G17" i="7" s="1"/>
  <c r="J21" i="9"/>
  <c r="I21" i="9"/>
  <c r="C4" i="13"/>
  <c r="C6" i="5"/>
  <c r="C9" i="5" s="1"/>
  <c r="C12" i="5" s="1"/>
  <c r="D4" i="13"/>
  <c r="D6" i="5"/>
  <c r="D9" i="5" s="1"/>
  <c r="D12" i="5" s="1"/>
  <c r="J15" i="9"/>
  <c r="I15" i="9"/>
  <c r="H15" i="9"/>
  <c r="K15" i="9"/>
  <c r="G15" i="9"/>
  <c r="G14" i="9" s="1"/>
  <c r="G5" i="7" s="1"/>
  <c r="G4" i="5"/>
  <c r="G33" i="8"/>
  <c r="G14" i="5" s="1"/>
  <c r="G9" i="6" s="1"/>
  <c r="G45" i="8"/>
  <c r="G18" i="5" s="1"/>
  <c r="G21" i="6" s="1"/>
  <c r="G27" i="8"/>
  <c r="G11" i="5" s="1"/>
  <c r="C6" i="16" s="1"/>
  <c r="N3" i="16" s="1"/>
  <c r="H9" i="8"/>
  <c r="G21" i="8"/>
  <c r="I18" i="9"/>
  <c r="H18" i="9"/>
  <c r="K18" i="9"/>
  <c r="G18" i="9"/>
  <c r="G17" i="9" s="1"/>
  <c r="G10" i="7" s="1"/>
  <c r="G16" i="6" s="1"/>
  <c r="J18" i="9"/>
  <c r="I5" i="5"/>
  <c r="J15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17" i="9" l="1"/>
  <c r="H10" i="7" s="1"/>
  <c r="G18" i="6"/>
  <c r="G9" i="19"/>
  <c r="G5" i="9"/>
  <c r="G9" i="7" s="1"/>
  <c r="D15" i="5"/>
  <c r="D5" i="13"/>
  <c r="D6" i="13" s="1"/>
  <c r="H20" i="9"/>
  <c r="H17" i="7" s="1"/>
  <c r="G11" i="9"/>
  <c r="G16" i="7" s="1"/>
  <c r="G8" i="5"/>
  <c r="C5" i="16" s="1"/>
  <c r="M3" i="16" s="1"/>
  <c r="G8" i="9"/>
  <c r="G8" i="7" s="1"/>
  <c r="H14" i="9"/>
  <c r="H5" i="7" s="1"/>
  <c r="E15" i="5"/>
  <c r="E5" i="13"/>
  <c r="E6" i="13" s="1"/>
  <c r="C3" i="16"/>
  <c r="K2" i="16" s="1"/>
  <c r="L2" i="16" s="1"/>
  <c r="H9" i="19"/>
  <c r="H5" i="9"/>
  <c r="H9" i="7" s="1"/>
  <c r="K15" i="8"/>
  <c r="K5" i="5" s="1"/>
  <c r="J5" i="5"/>
  <c r="H27" i="8"/>
  <c r="H11" i="5" s="1"/>
  <c r="I9" i="8"/>
  <c r="H21" i="8"/>
  <c r="H4" i="5"/>
  <c r="H33" i="8"/>
  <c r="H14" i="5" s="1"/>
  <c r="H9" i="6" s="1"/>
  <c r="H45" i="8"/>
  <c r="H18" i="5" s="1"/>
  <c r="H21" i="6" s="1"/>
  <c r="C4" i="16"/>
  <c r="L3" i="16" s="1"/>
  <c r="G6" i="5"/>
  <c r="G9" i="5" s="1"/>
  <c r="G12" i="5" s="1"/>
  <c r="G4" i="13"/>
  <c r="C15" i="5"/>
  <c r="C19" i="5" s="1"/>
  <c r="C5" i="13"/>
  <c r="C6" i="13" s="1"/>
  <c r="G15" i="5"/>
  <c r="G5" i="13"/>
  <c r="G6" i="13" s="1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E23" i="7" l="1"/>
  <c r="E26" i="7" s="1"/>
  <c r="H18" i="6"/>
  <c r="G6" i="19"/>
  <c r="G14" i="6"/>
  <c r="G5" i="19"/>
  <c r="G13" i="6"/>
  <c r="H4" i="13"/>
  <c r="H6" i="5"/>
  <c r="M2" i="16"/>
  <c r="N2" i="16" s="1"/>
  <c r="O3" i="16" s="1"/>
  <c r="H11" i="9"/>
  <c r="H16" i="7" s="1"/>
  <c r="H8" i="5"/>
  <c r="H8" i="9"/>
  <c r="H8" i="7" s="1"/>
  <c r="G12" i="6"/>
  <c r="G15" i="6" s="1"/>
  <c r="G4" i="19"/>
  <c r="G7" i="19" s="1"/>
  <c r="D23" i="7"/>
  <c r="D26" i="7" s="1"/>
  <c r="C24" i="5"/>
  <c r="C22" i="5"/>
  <c r="C52" i="8" s="1"/>
  <c r="I20" i="9"/>
  <c r="I17" i="7" s="1"/>
  <c r="I27" i="8"/>
  <c r="I11" i="5" s="1"/>
  <c r="I14" i="9"/>
  <c r="I5" i="7" s="1"/>
  <c r="I4" i="5"/>
  <c r="I5" i="9"/>
  <c r="I9" i="7" s="1"/>
  <c r="I33" i="8"/>
  <c r="I14" i="5" s="1"/>
  <c r="I9" i="6" s="1"/>
  <c r="I45" i="8"/>
  <c r="I18" i="5" s="1"/>
  <c r="I21" i="6" s="1"/>
  <c r="J9" i="8"/>
  <c r="I21" i="8"/>
  <c r="I17" i="9"/>
  <c r="I10" i="7" s="1"/>
  <c r="I16" i="6" s="1"/>
  <c r="H5" i="19"/>
  <c r="H13" i="6"/>
  <c r="E19" i="5"/>
  <c r="E4" i="6"/>
  <c r="D4" i="6"/>
  <c r="D19" i="5"/>
  <c r="H16" i="6"/>
  <c r="G19" i="5"/>
  <c r="G4" i="6"/>
  <c r="D19" i="3"/>
  <c r="F19" i="3"/>
  <c r="L19" i="3"/>
  <c r="J19" i="3"/>
  <c r="K19" i="3"/>
  <c r="E19" i="3"/>
  <c r="E24" i="5" l="1"/>
  <c r="E28" i="6" s="1"/>
  <c r="E22" i="5"/>
  <c r="I8" i="9"/>
  <c r="I8" i="7" s="1"/>
  <c r="I11" i="9"/>
  <c r="I16" i="7" s="1"/>
  <c r="I8" i="5"/>
  <c r="I5" i="19"/>
  <c r="I13" i="6"/>
  <c r="D24" i="5"/>
  <c r="D28" i="6" s="1"/>
  <c r="D22" i="5"/>
  <c r="J14" i="9"/>
  <c r="J5" i="7" s="1"/>
  <c r="J20" i="9"/>
  <c r="J17" i="7" s="1"/>
  <c r="J27" i="8"/>
  <c r="J11" i="5" s="1"/>
  <c r="J17" i="9"/>
  <c r="J10" i="7" s="1"/>
  <c r="J16" i="6" s="1"/>
  <c r="J4" i="5"/>
  <c r="J5" i="9"/>
  <c r="J9" i="7" s="1"/>
  <c r="J33" i="8"/>
  <c r="J14" i="5" s="1"/>
  <c r="J9" i="6" s="1"/>
  <c r="J45" i="8"/>
  <c r="J18" i="5" s="1"/>
  <c r="J21" i="6" s="1"/>
  <c r="K9" i="8"/>
  <c r="J21" i="8"/>
  <c r="I6" i="5"/>
  <c r="I9" i="5" s="1"/>
  <c r="I12" i="5" s="1"/>
  <c r="I15" i="5" s="1"/>
  <c r="I4" i="13"/>
  <c r="H6" i="19"/>
  <c r="H14" i="6"/>
  <c r="I18" i="6"/>
  <c r="H4" i="19"/>
  <c r="H7" i="19" s="1"/>
  <c r="H12" i="6"/>
  <c r="H15" i="6" s="1"/>
  <c r="H9" i="5"/>
  <c r="H12" i="5" s="1"/>
  <c r="G5" i="6"/>
  <c r="G7" i="6" s="1"/>
  <c r="G10" i="6" s="1"/>
  <c r="G23" i="6" s="1"/>
  <c r="I5" i="13"/>
  <c r="G21" i="5"/>
  <c r="G24" i="5" s="1"/>
  <c r="G21" i="7" s="1"/>
  <c r="L22" i="3"/>
  <c r="K22" i="3"/>
  <c r="J22" i="3"/>
  <c r="I14" i="6" l="1"/>
  <c r="I6" i="19"/>
  <c r="I6" i="13"/>
  <c r="H15" i="5"/>
  <c r="H5" i="13"/>
  <c r="H6" i="13" s="1"/>
  <c r="J8" i="5"/>
  <c r="J11" i="9"/>
  <c r="J16" i="7" s="1"/>
  <c r="J8" i="9"/>
  <c r="J8" i="7" s="1"/>
  <c r="J13" i="6"/>
  <c r="J5" i="19"/>
  <c r="I4" i="19"/>
  <c r="I7" i="19" s="1"/>
  <c r="I12" i="6"/>
  <c r="I15" i="6" s="1"/>
  <c r="K4" i="5"/>
  <c r="K14" i="9"/>
  <c r="K5" i="7" s="1"/>
  <c r="K45" i="8"/>
  <c r="K18" i="5" s="1"/>
  <c r="K21" i="6" s="1"/>
  <c r="K20" i="9"/>
  <c r="K17" i="7" s="1"/>
  <c r="K33" i="8"/>
  <c r="K14" i="5" s="1"/>
  <c r="K9" i="6" s="1"/>
  <c r="K21" i="8"/>
  <c r="K27" i="8"/>
  <c r="K11" i="5" s="1"/>
  <c r="K17" i="9"/>
  <c r="K10" i="7" s="1"/>
  <c r="K16" i="6" s="1"/>
  <c r="K5" i="9"/>
  <c r="K9" i="7" s="1"/>
  <c r="J4" i="13"/>
  <c r="J6" i="5"/>
  <c r="J9" i="5" s="1"/>
  <c r="J12" i="5" s="1"/>
  <c r="J15" i="5" s="1"/>
  <c r="J18" i="6"/>
  <c r="E52" i="8"/>
  <c r="E6" i="6"/>
  <c r="E5" i="6" s="1"/>
  <c r="D52" i="8"/>
  <c r="D6" i="6"/>
  <c r="D5" i="6" s="1"/>
  <c r="G28" i="6"/>
  <c r="G23" i="7"/>
  <c r="J5" i="13"/>
  <c r="J6" i="13" s="1"/>
  <c r="G8" i="11"/>
  <c r="I19" i="5"/>
  <c r="I4" i="6"/>
  <c r="G26" i="6"/>
  <c r="D26" i="6" l="1"/>
  <c r="D7" i="6"/>
  <c r="J12" i="6"/>
  <c r="J4" i="19"/>
  <c r="H19" i="5"/>
  <c r="H21" i="5" s="1"/>
  <c r="H4" i="6"/>
  <c r="J14" i="6"/>
  <c r="J6" i="19"/>
  <c r="E7" i="6"/>
  <c r="E10" i="6" s="1"/>
  <c r="E23" i="6" s="1"/>
  <c r="E26" i="6"/>
  <c r="K8" i="5"/>
  <c r="K11" i="9"/>
  <c r="K16" i="7" s="1"/>
  <c r="K8" i="9"/>
  <c r="K8" i="7" s="1"/>
  <c r="K18" i="6"/>
  <c r="K13" i="6"/>
  <c r="K5" i="19"/>
  <c r="K4" i="13"/>
  <c r="K6" i="5"/>
  <c r="G30" i="6"/>
  <c r="G33" i="6" s="1"/>
  <c r="G12" i="7"/>
  <c r="I21" i="5"/>
  <c r="J19" i="5"/>
  <c r="J4" i="6"/>
  <c r="C4" i="14"/>
  <c r="G11" i="11"/>
  <c r="C5" i="14" s="1"/>
  <c r="I5" i="6"/>
  <c r="I7" i="6" s="1"/>
  <c r="I10" i="6" s="1"/>
  <c r="I23" i="6" s="1"/>
  <c r="K14" i="6" l="1"/>
  <c r="K6" i="19"/>
  <c r="J7" i="19"/>
  <c r="J15" i="6"/>
  <c r="K9" i="5"/>
  <c r="K12" i="5" s="1"/>
  <c r="E30" i="6"/>
  <c r="E33" i="6" s="1"/>
  <c r="E36" i="6" s="1"/>
  <c r="H5" i="6"/>
  <c r="H7" i="6"/>
  <c r="H10" i="6" s="1"/>
  <c r="H23" i="6" s="1"/>
  <c r="H8" i="11" s="1"/>
  <c r="D4" i="14" s="1"/>
  <c r="D10" i="6"/>
  <c r="D23" i="6" s="1"/>
  <c r="D30" i="6" s="1"/>
  <c r="D33" i="6" s="1"/>
  <c r="D36" i="6" s="1"/>
  <c r="K4" i="19"/>
  <c r="K7" i="19" s="1"/>
  <c r="K12" i="6"/>
  <c r="K15" i="6" s="1"/>
  <c r="H24" i="5"/>
  <c r="H21" i="7" s="1"/>
  <c r="H26" i="6"/>
  <c r="I8" i="11"/>
  <c r="J5" i="6"/>
  <c r="H11" i="11"/>
  <c r="D5" i="14" s="1"/>
  <c r="J21" i="5"/>
  <c r="J24" i="5" s="1"/>
  <c r="H32" i="6"/>
  <c r="G35" i="6"/>
  <c r="G36" i="6" s="1"/>
  <c r="G14" i="7"/>
  <c r="G26" i="7" s="1"/>
  <c r="I26" i="6"/>
  <c r="I24" i="5"/>
  <c r="I21" i="7" s="1"/>
  <c r="H28" i="6" l="1"/>
  <c r="H30" i="6" s="1"/>
  <c r="H12" i="7" s="1"/>
  <c r="I32" i="6" s="1"/>
  <c r="H23" i="7"/>
  <c r="K15" i="5"/>
  <c r="K5" i="13"/>
  <c r="K6" i="13" s="1"/>
  <c r="E4" i="14"/>
  <c r="I11" i="11"/>
  <c r="E5" i="14" s="1"/>
  <c r="J26" i="6"/>
  <c r="J21" i="7"/>
  <c r="I28" i="6"/>
  <c r="I30" i="6" s="1"/>
  <c r="I23" i="7"/>
  <c r="H35" i="6"/>
  <c r="H14" i="7"/>
  <c r="H26" i="7" s="1"/>
  <c r="J7" i="6"/>
  <c r="J10" i="6" s="1"/>
  <c r="J23" i="6" s="1"/>
  <c r="K19" i="5" l="1"/>
  <c r="K21" i="5" s="1"/>
  <c r="K4" i="6"/>
  <c r="H33" i="6"/>
  <c r="H36" i="6" s="1"/>
  <c r="I33" i="6"/>
  <c r="I12" i="7"/>
  <c r="J28" i="6"/>
  <c r="J30" i="6" s="1"/>
  <c r="J23" i="7"/>
  <c r="J8" i="11"/>
  <c r="K5" i="6" l="1"/>
  <c r="K7" i="6"/>
  <c r="K10" i="6" s="1"/>
  <c r="K23" i="6" s="1"/>
  <c r="K8" i="11" s="1"/>
  <c r="G4" i="14" s="1"/>
  <c r="K24" i="5"/>
  <c r="K21" i="7" s="1"/>
  <c r="K26" i="6"/>
  <c r="J32" i="6"/>
  <c r="J33" i="6" s="1"/>
  <c r="J12" i="7"/>
  <c r="I35" i="6"/>
  <c r="I36" i="6" s="1"/>
  <c r="I14" i="7"/>
  <c r="I26" i="7" s="1"/>
  <c r="K11" i="11"/>
  <c r="F4" i="14"/>
  <c r="J11" i="11"/>
  <c r="F5" i="14" s="1"/>
  <c r="K28" i="6"/>
  <c r="K30" i="6" s="1"/>
  <c r="K23" i="7"/>
  <c r="C16" i="11" l="1"/>
  <c r="C17" i="11" s="1"/>
  <c r="C15" i="11"/>
  <c r="G5" i="14"/>
  <c r="J35" i="6"/>
  <c r="J36" i="6" s="1"/>
  <c r="K32" i="6"/>
  <c r="K33" i="6" s="1"/>
  <c r="K12" i="7"/>
  <c r="J14" i="7"/>
  <c r="J26" i="7" s="1"/>
  <c r="C18" i="11" l="1"/>
  <c r="K35" i="6"/>
  <c r="K36" i="6" s="1"/>
  <c r="K14" i="7"/>
  <c r="K26" i="7" s="1"/>
  <c r="G25" i="11" l="1"/>
  <c r="C21" i="11"/>
  <c r="E17" i="11"/>
  <c r="E15" i="11"/>
</calcChain>
</file>

<file path=xl/sharedStrings.xml><?xml version="1.0" encoding="utf-8"?>
<sst xmlns="http://schemas.openxmlformats.org/spreadsheetml/2006/main" count="342" uniqueCount="175">
  <si>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</si>
  <si>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</si>
  <si>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</si>
  <si>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</si>
  <si>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</si>
  <si>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</si>
  <si>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</si>
  <si>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</si>
  <si>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</si>
  <si>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</si>
  <si>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</si>
  <si>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</si>
  <si>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</si>
  <si>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</si>
  <si>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</si>
  <si>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</si>
  <si>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</si>
  <si>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</si>
  <si>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</si>
  <si>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</si>
  <si>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</si>
  <si>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</si>
  <si>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</si>
  <si>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</si>
  <si>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</si>
  <si>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</si>
  <si>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</si>
  <si>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</si>
  <si>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</si>
  <si>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</si>
  <si>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</si>
  <si>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</si>
  <si>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</si>
  <si>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</si>
  <si>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</si>
  <si>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</si>
  <si>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</si>
  <si>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</si>
  <si>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</si>
  <si>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</si>
  <si>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</si>
  <si>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</si>
  <si>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</si>
  <si>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</si>
  <si>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</si>
  <si>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</si>
  <si>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</si>
  <si>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</si>
  <si>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</si>
  <si>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</si>
  <si>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</si>
  <si>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</si>
  <si>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</si>
  <si>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</si>
  <si>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</si>
  <si>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</si>
  <si>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</si>
  <si>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</si>
  <si>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</si>
  <si>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</si>
  <si>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</si>
  <si>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</si>
  <si>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</si>
  <si>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</si>
  <si>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</si>
  <si>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</si>
  <si>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</si>
  <si>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</si>
  <si>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</si>
  <si>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</si>
  <si>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</si>
  <si>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</si>
  <si>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</si>
  <si>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</si>
  <si>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</si>
  <si>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</si>
  <si>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</si>
  <si>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</si>
  <si>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</si>
  <si>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</si>
  <si>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</si>
  <si>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</si>
  <si>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</si>
  <si>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</si>
  <si>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</si>
  <si>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</si>
  <si>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</si>
  <si>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</si>
  <si>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</si>
  <si>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</si>
  <si>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</si>
  <si>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</si>
  <si>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</si>
  <si>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</si>
  <si>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</si>
  <si>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</si>
  <si>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</si>
  <si>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</si>
  <si>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</si>
  <si>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</si>
  <si>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</si>
  <si>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</si>
  <si>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</si>
  <si>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</si>
  <si>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</si>
  <si>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</si>
  <si>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</si>
  <si>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</si>
  <si>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</si>
  <si>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</si>
  <si>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</si>
  <si>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</si>
  <si>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</si>
  <si>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</si>
  <si>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</si>
  <si>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</si>
  <si>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</si>
  <si>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</si>
  <si>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</si>
  <si>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</si>
  <si>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</si>
  <si>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</si>
  <si>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</si>
  <si>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</si>
  <si>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</si>
  <si>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</si>
  <si>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</si>
  <si>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</si>
  <si>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</si>
  <si>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</si>
  <si>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</si>
  <si>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</si>
  <si>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</si>
  <si>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</si>
  <si>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</si>
  <si>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</si>
  <si>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</si>
  <si>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</si>
  <si>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</si>
  <si>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</si>
  <si>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</si>
  <si>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</si>
  <si>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</si>
  <si>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</si>
  <si>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</si>
  <si>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</si>
  <si>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</si>
  <si>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</si>
  <si>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</si>
  <si>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</si>
  <si>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</si>
  <si>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</si>
  <si>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-Financial liabilities</t>
  </si>
  <si>
    <t>+Cash</t>
  </si>
  <si>
    <t>Equity value</t>
  </si>
  <si>
    <t>Unlevered free cash flow multiplied by discount factor in order to obtain Present Value</t>
  </si>
  <si>
    <t>Sum of the present value of Cash Flows for the period 2014-2018</t>
  </si>
  <si>
    <t>EBITDA%</t>
  </si>
  <si>
    <t>Present value of UFCF</t>
  </si>
  <si>
    <t>EBITDA FY13</t>
  </si>
  <si>
    <t>Delta Revenues</t>
  </si>
  <si>
    <t>Delta Cogs</t>
  </si>
  <si>
    <t>Delta Opex</t>
  </si>
  <si>
    <t>EBITDA FY14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</si>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</sst>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  <numFmt numFmtId="184" formatCode="0.0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rgb="FF002060"/>
      </right>
      <top/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11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166" fontId="1" fillId="47" borderId="0" xfId="0" applyNumberFormat="1" applyFont="1" applyFill="1" applyBorder="1"/>
    <xf numFmtId="168" fontId="1" fillId="47" borderId="0" xfId="0" applyNumberFormat="1" applyFont="1" applyFill="1" applyBorder="1"/>
    <xf numFmtId="166" fontId="6" fillId="47" borderId="19" xfId="0" applyNumberFormat="1" applyFont="1" applyFill="1" applyBorder="1"/>
    <xf numFmtId="49" fontId="1" fillId="2" borderId="0" xfId="0" quotePrefix="1" applyNumberFormat="1" applyFont="1" applyFill="1" applyBorder="1"/>
    <xf numFmtId="49" fontId="1" fillId="2" borderId="0" xfId="0" applyNumberFormat="1" applyFont="1" applyFill="1" applyBorder="1"/>
    <xf numFmtId="9" fontId="6" fillId="2" borderId="4" xfId="2" applyFont="1" applyFill="1" applyBorder="1"/>
    <xf numFmtId="9" fontId="6" fillId="2" borderId="22" xfId="2" applyFont="1" applyFill="1" applyBorder="1"/>
    <xf numFmtId="170" fontId="1" fillId="2" borderId="0" xfId="3" applyNumberFormat="1" applyFont="1" applyFill="1"/>
    <xf numFmtId="170" fontId="1" fillId="3" borderId="0" xfId="3" applyNumberFormat="1" applyFont="1" applyFill="1"/>
    <xf numFmtId="184" fontId="65" fillId="2" borderId="0" xfId="0" applyNumberFormat="1" applyFont="1" applyFill="1" applyAlignment="1">
      <alignment horizontal="left"/>
    </xf>
    <xf numFmtId="184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84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70" fontId="3" fillId="2" borderId="19" xfId="3" applyNumberFormat="1" applyFont="1" applyFill="1" applyBorder="1"/>
    <xf numFmtId="170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9" fontId="1" fillId="2" borderId="0" xfId="0" applyNumberFormat="1" applyFont="1" applyFill="1"/>
    <xf numFmtId="0" fontId="63" fillId="49" borderId="0" xfId="134" applyNumberFormat="1" applyFont="1" applyFill="1" applyBorder="1" applyAlignment="1">
      <alignment horizontal="center"/>
    </xf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716-4C90-BC7D-326EC9AB76F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716-4C90-BC7D-326EC9AB76F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C716-4C90-BC7D-326EC9AB76F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C716-4C90-BC7D-326EC9AB76F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C716-4C90-BC7D-326EC9AB76F8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FY11
Actual </c:v>
                </c:pt>
                <c:pt idx="1">
                  <c:v>FY12
Actual </c:v>
                </c:pt>
                <c:pt idx="2">
                  <c:v>FY13
Actual </c:v>
                </c:pt>
                <c:pt idx="4">
                  <c:v>FY14
Forecast </c:v>
                </c:pt>
                <c:pt idx="5">
                  <c:v>FY15
Forecast </c:v>
                </c:pt>
                <c:pt idx="6">
                  <c:v>FY16
Forecast </c:v>
                </c:pt>
                <c:pt idx="7">
                  <c:v>FY17
Forecast </c:v>
                </c:pt>
                <c:pt idx="8">
                  <c:v>FY18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177203</c:v>
                </c:pt>
                <c:pt idx="1">
                  <c:v>188618</c:v>
                </c:pt>
                <c:pt idx="2">
                  <c:v>208366</c:v>
                </c:pt>
                <c:pt idx="4">
                  <c:v>229202.6</c:v>
                </c:pt>
                <c:pt idx="5">
                  <c:v>252122.86000000002</c:v>
                </c:pt>
                <c:pt idx="6">
                  <c:v>277335.14600000007</c:v>
                </c:pt>
                <c:pt idx="7">
                  <c:v>305068.66060000012</c:v>
                </c:pt>
                <c:pt idx="8">
                  <c:v>335575.52666000015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16-4C90-BC7D-326EC9AB7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FY11
Actual </c:v>
                </c:pt>
                <c:pt idx="1">
                  <c:v>FY12
Actual </c:v>
                </c:pt>
                <c:pt idx="2">
                  <c:v>FY13
Actual </c:v>
                </c:pt>
                <c:pt idx="4">
                  <c:v>FY14
Forecast </c:v>
                </c:pt>
                <c:pt idx="5">
                  <c:v>FY15
Forecast </c:v>
                </c:pt>
                <c:pt idx="6">
                  <c:v>FY16
Forecast </c:v>
                </c:pt>
                <c:pt idx="7">
                  <c:v>FY17
Forecast </c:v>
                </c:pt>
                <c:pt idx="8">
                  <c:v>FY18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0.11465560590584409</c:v>
                </c:pt>
                <c:pt idx="1">
                  <c:v>0.11247036868167416</c:v>
                </c:pt>
                <c:pt idx="2">
                  <c:v>0.14186994795025576</c:v>
                </c:pt>
                <c:pt idx="4">
                  <c:v>0.15127823157328935</c:v>
                </c:pt>
                <c:pt idx="5">
                  <c:v>0.15025293779389931</c:v>
                </c:pt>
                <c:pt idx="6">
                  <c:v>0.14932085253990848</c:v>
                </c:pt>
                <c:pt idx="7">
                  <c:v>0.14847350230900769</c:v>
                </c:pt>
                <c:pt idx="8">
                  <c:v>0.14770318391727971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C716-4C90-BC7D-326EC9AB7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'Cash flows'!$C$3:$G$3</c:f>
              <c:strCache>
                <c:ptCount val="5"/>
                <c:pt idx="0">
                  <c:v>FY14
Forecast</c:v>
                </c:pt>
                <c:pt idx="1">
                  <c:v>FY15
Forecast</c:v>
                </c:pt>
                <c:pt idx="2">
                  <c:v>FY16
Forecast</c:v>
                </c:pt>
                <c:pt idx="3">
                  <c:v>FY17
Forecast</c:v>
                </c:pt>
                <c:pt idx="4">
                  <c:v>FY18
Forecast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17757.353581652882</c:v>
                </c:pt>
                <c:pt idx="1">
                  <c:v>14352.745840704949</c:v>
                </c:pt>
                <c:pt idx="2">
                  <c:v>15576.050424775463</c:v>
                </c:pt>
                <c:pt idx="3">
                  <c:v>16921.685467252995</c:v>
                </c:pt>
                <c:pt idx="4">
                  <c:v>18401.884013978357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B-4D9D-BB67-477981709A29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'Cash flows'!$C$3:$G$3</c:f>
              <c:strCache>
                <c:ptCount val="5"/>
                <c:pt idx="0">
                  <c:v>FY14
Forecast</c:v>
                </c:pt>
                <c:pt idx="1">
                  <c:v>FY15
Forecast</c:v>
                </c:pt>
                <c:pt idx="2">
                  <c:v>FY16
Forecast</c:v>
                </c:pt>
                <c:pt idx="3">
                  <c:v>FY17
Forecast</c:v>
                </c:pt>
                <c:pt idx="4">
                  <c:v>FY18
Forecast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16143.048710593528</c:v>
                </c:pt>
                <c:pt idx="1">
                  <c:v>11861.773422070204</c:v>
                </c:pt>
                <c:pt idx="2">
                  <c:v>11702.517223723109</c:v>
                </c:pt>
                <c:pt idx="3">
                  <c:v>11557.738861589367</c:v>
                </c:pt>
                <c:pt idx="4">
                  <c:v>11426.122168740554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B-4D9D-BB67-477981709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45920"/>
        <c:axId val="104972288"/>
      </c:area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4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8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thousand</a:t>
                </a:r>
                <a:endParaRPr lang="en-US" b="0"/>
              </a:p>
            </c:rich>
          </c:tx>
          <c:overlay val="0"/>
        </c:title>
        <c:numFmt formatCode="_(* #,##0_);_(* \(#,##0\);_(* &quot;-&quot;?_);@_)" sourceLinked="1"/>
        <c:majorTickMark val="out"/>
        <c:minorTickMark val="none"/>
        <c:tickLblPos val="nextTo"/>
        <c:crossAx val="104945920"/>
        <c:crosses val="autoZero"/>
        <c:crossBetween val="midCat"/>
        <c:majorUnit val="10000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797C-4163-9D4D-35E71C3138C1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797C-4163-9D4D-35E71C3138C1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797C-4163-9D4D-35E71C3138C1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797C-4163-9D4D-35E71C3138C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7C-4163-9D4D-35E71C3138C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'[1]Ebitda bridge'!$K$4:$O$4</c:f>
              <c:strCache>
                <c:ptCount val="5"/>
                <c:pt idx="0">
                  <c:v>EBITDA FY13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FY14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29560.873574602992</c:v>
                </c:pt>
                <c:pt idx="1">
                  <c:v>29560.873574602992</c:v>
                </c:pt>
                <c:pt idx="2">
                  <c:v>33726.616000000002</c:v>
                </c:pt>
                <c:pt idx="3">
                  <c:v>33726.616000000002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97C-4163-9D4D-35E71C3138C1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A-797C-4163-9D4D-35E71C3138C1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797C-4163-9D4D-35E71C3138C1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E-797C-4163-9D4D-35E71C3138C1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797C-4163-9D4D-35E71C3138C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97C-4163-9D4D-35E71C3138C1}"/>
                </c:ext>
              </c:extLst>
            </c:dLbl>
            <c:dLbl>
              <c:idx val="3"/>
              <c:layout>
                <c:manualLayout>
                  <c:x val="-1.7137960582690661E-3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947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97C-4163-9D4D-35E71C3138C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'[1]Ebitda bridge'!$K$4:$O$4</c:f>
              <c:strCache>
                <c:ptCount val="5"/>
                <c:pt idx="0">
                  <c:v>EBITDA FY13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FY14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20836.600000000006</c:v>
                </c:pt>
                <c:pt idx="2">
                  <c:v>16670.857574602996</c:v>
                </c:pt>
                <c:pt idx="3">
                  <c:v>946.74800000000687</c:v>
                </c:pt>
                <c:pt idx="4">
                  <c:v>34673.364000000009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97C-4163-9D4D-35E71C313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4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48159.600000000006</c:v>
                </c:pt>
                <c:pt idx="1">
                  <c:v>48601.200000000004</c:v>
                </c:pt>
                <c:pt idx="2">
                  <c:v>53604.000000000007</c:v>
                </c:pt>
                <c:pt idx="4">
                  <c:v>59022.842423163362</c:v>
                </c:pt>
                <c:pt idx="5">
                  <c:v>64925.126665479722</c:v>
                </c:pt>
                <c:pt idx="6">
                  <c:v>71417.639332027698</c:v>
                </c:pt>
                <c:pt idx="7">
                  <c:v>78559.403265230489</c:v>
                </c:pt>
                <c:pt idx="8">
                  <c:v>86415.343591753524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5-4EF2-AB0A-7C3191DF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'[1]Working capital'!$C$3:$K$3</c:f>
              <c:strCache>
                <c:ptCount val="9"/>
                <c:pt idx="0">
                  <c:v>FY11
Actual</c:v>
                </c:pt>
                <c:pt idx="1">
                  <c:v>FY12
Actual</c:v>
                </c:pt>
                <c:pt idx="2">
                  <c:v>FY13
Actual</c:v>
                </c:pt>
                <c:pt idx="3">
                  <c:v>0</c:v>
                </c:pt>
                <c:pt idx="4">
                  <c:v>FY14
Forecast</c:v>
                </c:pt>
                <c:pt idx="5">
                  <c:v>FY15
Forecast</c:v>
                </c:pt>
                <c:pt idx="6">
                  <c:v>FY16
Forecast</c:v>
                </c:pt>
                <c:pt idx="7">
                  <c:v>FY17
Forecast</c:v>
                </c:pt>
                <c:pt idx="8">
                  <c:v>FY18
Forecast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66.805279820319072</c:v>
                </c:pt>
                <c:pt idx="1">
                  <c:v>73.588734903349632</c:v>
                </c:pt>
                <c:pt idx="2">
                  <c:v>75.297198199322338</c:v>
                </c:pt>
                <c:pt idx="4">
                  <c:v>75.297198199322338</c:v>
                </c:pt>
                <c:pt idx="5">
                  <c:v>75.297198199322338</c:v>
                </c:pt>
                <c:pt idx="6">
                  <c:v>75.297198199322338</c:v>
                </c:pt>
                <c:pt idx="7">
                  <c:v>75.297198199322338</c:v>
                </c:pt>
                <c:pt idx="8">
                  <c:v>75.297198199322338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5-4EF2-AB0A-7C3191DFF795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'[1]Working capital'!$C$3:$K$3</c:f>
              <c:strCache>
                <c:ptCount val="9"/>
                <c:pt idx="0">
                  <c:v>FY11
Actual</c:v>
                </c:pt>
                <c:pt idx="1">
                  <c:v>FY12
Actual</c:v>
                </c:pt>
                <c:pt idx="2">
                  <c:v>FY13
Actual</c:v>
                </c:pt>
                <c:pt idx="3">
                  <c:v>0</c:v>
                </c:pt>
                <c:pt idx="4">
                  <c:v>FY14
Forecast</c:v>
                </c:pt>
                <c:pt idx="5">
                  <c:v>FY15
Forecast</c:v>
                </c:pt>
                <c:pt idx="6">
                  <c:v>FY16
Forecast</c:v>
                </c:pt>
                <c:pt idx="7">
                  <c:v>FY17
Forecast</c:v>
                </c:pt>
                <c:pt idx="8">
                  <c:v>FY18
Forecast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78.796599890979181</c:v>
                </c:pt>
                <c:pt idx="1">
                  <c:v>87.020385727810066</c:v>
                </c:pt>
                <c:pt idx="2">
                  <c:v>105.61192646702818</c:v>
                </c:pt>
                <c:pt idx="4">
                  <c:v>105.61192646702818</c:v>
                </c:pt>
                <c:pt idx="5">
                  <c:v>105.61192646702818</c:v>
                </c:pt>
                <c:pt idx="6">
                  <c:v>105.61192646702818</c:v>
                </c:pt>
                <c:pt idx="7">
                  <c:v>105.61192646702818</c:v>
                </c:pt>
                <c:pt idx="8">
                  <c:v>105.61192646702818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85-4EF2-AB0A-7C3191DFF795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'[1]Working capital'!$C$3:$K$3</c:f>
              <c:strCache>
                <c:ptCount val="9"/>
                <c:pt idx="0">
                  <c:v>FY11
Actual</c:v>
                </c:pt>
                <c:pt idx="1">
                  <c:v>FY12
Actual</c:v>
                </c:pt>
                <c:pt idx="2">
                  <c:v>FY13
Actual</c:v>
                </c:pt>
                <c:pt idx="3">
                  <c:v>0</c:v>
                </c:pt>
                <c:pt idx="4">
                  <c:v>FY14
Forecast</c:v>
                </c:pt>
                <c:pt idx="5">
                  <c:v>FY15
Forecast</c:v>
                </c:pt>
                <c:pt idx="6">
                  <c:v>FY16
Forecast</c:v>
                </c:pt>
                <c:pt idx="7">
                  <c:v>FY17
Forecast</c:v>
                </c:pt>
                <c:pt idx="8">
                  <c:v>FY18
Forecast</c:v>
                </c:pt>
              </c:strCache>
            </c:strRef>
          </c:cat>
          <c:val>
            <c:numRef>
              <c:f>'Working capital'!$C$11:$K$11</c:f>
              <c:numCache>
                <c:formatCode>_(* #,##0_);_(* \(#,##0\);_(* "-"??_);_(@_)</c:formatCode>
                <c:ptCount val="9"/>
                <c:pt idx="0">
                  <c:v>40.175971155173656</c:v>
                </c:pt>
                <c:pt idx="1">
                  <c:v>63.003516697758023</c:v>
                </c:pt>
                <c:pt idx="2">
                  <c:v>82.706945686643365</c:v>
                </c:pt>
                <c:pt idx="4">
                  <c:v>82.706945686643365</c:v>
                </c:pt>
                <c:pt idx="5">
                  <c:v>82.706945686643365</c:v>
                </c:pt>
                <c:pt idx="6">
                  <c:v>82.706945686643365</c:v>
                </c:pt>
                <c:pt idx="7">
                  <c:v>82.706945686643365</c:v>
                </c:pt>
                <c:pt idx="8">
                  <c:v>82.706945686643365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85-4EF2-AB0A-7C3191DF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CB5-4DAA-B922-F6F9A88B6E8B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B5-4DAA-B922-F6F9A88B6E8B}"/>
                </c:ext>
              </c:extLst>
            </c:dLbl>
            <c:dLbl>
              <c:idx val="1"/>
              <c:layout>
                <c:manualLayout>
                  <c:x val="3.9170181466448663E-2"/>
                  <c:y val="3.84168932981944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B5-4DAA-B922-F6F9A88B6E8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results'!$C$6:$C$7</c:f>
              <c:numCache>
                <c:formatCode>General</c:formatCode>
                <c:ptCount val="2"/>
                <c:pt idx="0">
                  <c:v>0.30085866160702229</c:v>
                </c:pt>
                <c:pt idx="1">
                  <c:v>0.69914133839297776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B5-4DAA-B922-F6F9A88B6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44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2B9-4DF3-A999-1884E75EAE63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B9-4DF3-A999-1884E75EAE63}"/>
                </c:ext>
              </c:extLst>
            </c:dLbl>
            <c:dLbl>
              <c:idx val="1"/>
              <c:layout>
                <c:manualLayout>
                  <c:x val="3.3426183844011144E-2"/>
                  <c:y val="3.284973584495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B9-4DF3-A999-1884E75EAE63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results'!$H$6:$H$7</c:f>
              <c:numCache>
                <c:formatCode>General</c:formatCode>
                <c:ptCount val="2"/>
                <c:pt idx="0">
                  <c:v>0.31591165336933186</c:v>
                </c:pt>
                <c:pt idx="1">
                  <c:v>0.6840883466306682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B9-4DF3-A999-1884E75EA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5538-41B9-91BD-2F3543809BB4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38-41B9-91BD-2F3543809BB4}"/>
                </c:ext>
              </c:extLst>
            </c:dLbl>
            <c:dLbl>
              <c:idx val="1"/>
              <c:layout>
                <c:manualLayout>
                  <c:x val="4.456824512534819E-2"/>
                  <c:y val="6.62526805643957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38-41B9-91BD-2F3543809BB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results'!$N$6:$N$7</c:f>
              <c:numCache>
                <c:formatCode>General</c:formatCode>
                <c:ptCount val="2"/>
                <c:pt idx="0">
                  <c:v>0.33470503116615574</c:v>
                </c:pt>
                <c:pt idx="1">
                  <c:v>0.6652949688338442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38-41B9-91BD-2F3543809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21</xdr:row>
      <xdr:rowOff>114300</xdr:rowOff>
    </xdr:from>
    <xdr:to>
      <xdr:col>10</xdr:col>
      <xdr:colOff>571500</xdr:colOff>
      <xdr:row>23</xdr:row>
      <xdr:rowOff>47625</xdr:rowOff>
    </xdr:to>
    <xdr:sp macro="" textlink="">
      <xdr:nvSpPr>
        <xdr:cNvPr id="2" name="TextBox 1"/>
        <xdr:cNvSpPr txBox="1"/>
      </xdr:nvSpPr>
      <xdr:spPr>
        <a:xfrm>
          <a:off x="4514850" y="3429000"/>
          <a:ext cx="2381250" cy="23812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133350</xdr:colOff>
      <xdr:row>25</xdr:row>
      <xdr:rowOff>9524</xdr:rowOff>
    </xdr:from>
    <xdr:to>
      <xdr:col>6</xdr:col>
      <xdr:colOff>419100</xdr:colOff>
      <xdr:row>28</xdr:row>
      <xdr:rowOff>152399</xdr:rowOff>
    </xdr:to>
    <xdr:sp macro="" textlink="">
      <xdr:nvSpPr>
        <xdr:cNvPr id="3" name="TextBox 2"/>
        <xdr:cNvSpPr txBox="1"/>
      </xdr:nvSpPr>
      <xdr:spPr>
        <a:xfrm>
          <a:off x="3962400" y="3943349"/>
          <a:ext cx="285750" cy="60007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12</xdr:col>
      <xdr:colOff>390525</xdr:colOff>
      <xdr:row>28</xdr:row>
      <xdr:rowOff>147637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$208.4m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$134.7m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$101</a:t>
          </a:r>
          <a:r>
            <a:rPr lang="en-US" sz="900" b="1" baseline="0">
              <a:latin typeface="Arial" pitchFamily="34" charset="0"/>
              <a:cs typeface="Arial" pitchFamily="34" charset="0"/>
            </a:rPr>
            <a:t> </a:t>
          </a:r>
          <a:r>
            <a:rPr lang="en-US" sz="900" b="1">
              <a:latin typeface="Arial" pitchFamily="34" charset="0"/>
              <a:cs typeface="Arial" pitchFamily="34" charset="0"/>
            </a:rPr>
            <a:t>.2m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ew\Desktop\Courses\Video%20creating\Excel\4)%20DCF%20Valuation\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 Output --&gt;"/>
      <sheetName val="P&amp;L"/>
      <sheetName val="BS"/>
      <sheetName val="Cash Flow"/>
      <sheetName val="DCF valuation"/>
      <sheetName val="3.Charts --&gt;"/>
      <sheetName val="Revenues&amp;Ebitda"/>
      <sheetName val="Cash flows"/>
      <sheetName val="Ebitda bridge"/>
      <sheetName val="Working capital"/>
      <sheetName val="DCF results"/>
      <sheetName val="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K4" t="str">
            <v>EBITDA FY13</v>
          </cell>
          <cell r="L4" t="str">
            <v>Delta Revenues</v>
          </cell>
          <cell r="M4" t="str">
            <v>Delta Cogs</v>
          </cell>
          <cell r="N4" t="str">
            <v>Delta Opex</v>
          </cell>
          <cell r="O4" t="str">
            <v>EBITDA FY14</v>
          </cell>
        </row>
      </sheetData>
      <sheetData sheetId="13">
        <row r="3">
          <cell r="C3" t="str">
            <v>FY11
Actual</v>
          </cell>
          <cell r="D3" t="str">
            <v>FY12
Actual</v>
          </cell>
          <cell r="E3" t="str">
            <v>FY13
Actual</v>
          </cell>
          <cell r="F3">
            <v>0</v>
          </cell>
          <cell r="G3" t="str">
            <v>FY14
Forecast</v>
          </cell>
          <cell r="H3" t="str">
            <v>FY15
Forecast</v>
          </cell>
          <cell r="I3" t="str">
            <v>FY16
Forecast</v>
          </cell>
          <cell r="J3" t="str">
            <v>FY17
Forecast</v>
          </cell>
          <cell r="K3" t="str">
            <v>FY18
Forecast</v>
          </cell>
        </row>
      </sheetData>
      <sheetData sheetId="14">
        <row r="6">
          <cell r="B6" t="str">
            <v>CFs in Forecast period</v>
          </cell>
          <cell r="C6">
            <v>0.30085866160702229</v>
          </cell>
          <cell r="G6" t="str">
            <v>CFs in Forecast period</v>
          </cell>
          <cell r="H6">
            <v>0.31591165336933186</v>
          </cell>
          <cell r="M6" t="str">
            <v>CFs in Forecast period</v>
          </cell>
          <cell r="N6">
            <v>0.33470503116615574</v>
          </cell>
        </row>
        <row r="7">
          <cell r="B7" t="str">
            <v>Continuing Value</v>
          </cell>
          <cell r="C7">
            <v>0.69914133839297776</v>
          </cell>
          <cell r="G7" t="str">
            <v>Continuing Value</v>
          </cell>
          <cell r="H7">
            <v>0.6840883466306682</v>
          </cell>
          <cell r="M7" t="str">
            <v>Continuing Value</v>
          </cell>
          <cell r="N7">
            <v>0.6652949688338442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6" sqref="C6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5" t="s">
        <v>26</v>
      </c>
    </row>
    <row r="7" spans="2:3">
      <c r="B7" s="29">
        <f t="shared" ref="B7:B21" si="0">B6+1</f>
        <v>3</v>
      </c>
      <c r="C7" s="65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5" t="s">
        <v>6</v>
      </c>
    </row>
    <row r="10" spans="2:3">
      <c r="B10" s="29">
        <f t="shared" si="0"/>
        <v>6</v>
      </c>
      <c r="C10" s="65" t="s">
        <v>25</v>
      </c>
    </row>
    <row r="11" spans="2:3">
      <c r="B11" s="29">
        <f t="shared" si="0"/>
        <v>7</v>
      </c>
      <c r="C11" s="65" t="s">
        <v>28</v>
      </c>
    </row>
    <row r="12" spans="2:3">
      <c r="B12" s="29">
        <f t="shared" si="0"/>
        <v>8</v>
      </c>
      <c r="C12" s="65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5" t="s">
        <v>72</v>
      </c>
    </row>
    <row r="15" spans="2:3">
      <c r="B15" s="29">
        <f t="shared" si="0"/>
        <v>11</v>
      </c>
      <c r="C15" s="65" t="s">
        <v>69</v>
      </c>
    </row>
    <row r="16" spans="2:3">
      <c r="B16" s="29">
        <f t="shared" si="0"/>
        <v>12</v>
      </c>
      <c r="C16" s="65" t="s">
        <v>73</v>
      </c>
    </row>
    <row r="17" spans="2:3">
      <c r="B17" s="29">
        <f t="shared" si="0"/>
        <v>13</v>
      </c>
      <c r="C17" s="65" t="s">
        <v>74</v>
      </c>
    </row>
    <row r="18" spans="2:3">
      <c r="B18" s="29">
        <f t="shared" si="0"/>
        <v>14</v>
      </c>
      <c r="C18" s="65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5" t="s">
        <v>1</v>
      </c>
    </row>
    <row r="21" spans="2:3">
      <c r="B21" s="29">
        <f t="shared" si="0"/>
        <v>17</v>
      </c>
      <c r="C21" s="65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8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69"/>
      <c r="D11" s="69"/>
      <c r="E11" s="69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69"/>
      <c r="D12" s="69"/>
      <c r="E12" s="69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69"/>
      <c r="D13" s="69"/>
      <c r="E13" s="69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69"/>
      <c r="D17" s="69"/>
      <c r="E17" s="69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69"/>
      <c r="D18" s="69"/>
      <c r="E18" s="69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69"/>
      <c r="D19" s="69"/>
      <c r="E19" s="69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69"/>
      <c r="D23" s="69"/>
      <c r="E23" s="69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69"/>
      <c r="D24" s="69"/>
      <c r="E24" s="69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69"/>
      <c r="D25" s="69"/>
      <c r="E25" s="69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69"/>
      <c r="D29" s="69"/>
      <c r="E29" s="69"/>
      <c r="G29" s="70">
        <v>-0.1</v>
      </c>
      <c r="H29" s="70">
        <v>-0.1</v>
      </c>
      <c r="I29" s="70">
        <v>-0.1</v>
      </c>
      <c r="J29" s="70">
        <v>-0.1</v>
      </c>
      <c r="K29" s="70">
        <v>-0.1</v>
      </c>
    </row>
    <row r="30" spans="2:11" ht="12" customHeight="1">
      <c r="B30" s="7" t="s">
        <v>89</v>
      </c>
      <c r="C30" s="69"/>
      <c r="D30" s="69"/>
      <c r="E30" s="69"/>
      <c r="G30" s="70">
        <v>-0.105</v>
      </c>
      <c r="H30" s="70">
        <v>-0.105</v>
      </c>
      <c r="I30" s="70">
        <v>-0.105</v>
      </c>
      <c r="J30" s="70">
        <v>-0.105</v>
      </c>
      <c r="K30" s="70">
        <v>-0.105</v>
      </c>
    </row>
    <row r="31" spans="2:11" ht="12" customHeight="1">
      <c r="B31" s="7" t="s">
        <v>90</v>
      </c>
      <c r="C31" s="69"/>
      <c r="D31" s="69"/>
      <c r="E31" s="69"/>
      <c r="G31" s="70">
        <v>-0.11</v>
      </c>
      <c r="H31" s="70">
        <v>-0.11</v>
      </c>
      <c r="I31" s="70">
        <v>-0.11</v>
      </c>
      <c r="J31" s="70">
        <v>-0.11</v>
      </c>
      <c r="K31" s="70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69"/>
      <c r="D35" s="69"/>
      <c r="E35" s="69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69"/>
      <c r="D36" s="69"/>
      <c r="E36" s="69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69"/>
      <c r="D37" s="69"/>
      <c r="E37" s="69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69"/>
      <c r="D41" s="69"/>
      <c r="E41" s="69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69"/>
      <c r="D42" s="69"/>
      <c r="E42" s="69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69"/>
      <c r="D43" s="69"/>
      <c r="E43" s="69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69"/>
      <c r="D47" s="69"/>
      <c r="E47" s="69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69"/>
      <c r="D48" s="69"/>
      <c r="E48" s="69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69"/>
      <c r="D49" s="69"/>
      <c r="E49" s="69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69"/>
      <c r="D53" s="69"/>
      <c r="E53" s="69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69"/>
      <c r="D54" s="69"/>
      <c r="E54" s="69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69"/>
      <c r="D55" s="69"/>
      <c r="E55" s="69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G10" sqref="G10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1">
        <f>AVERAGE($C15:$E15)</f>
        <v>0.26133219592352436</v>
      </c>
      <c r="H15" s="71">
        <f t="shared" ref="H15:K15" si="3">AVERAGE($C15:$E15)</f>
        <v>0.26133219592352436</v>
      </c>
      <c r="I15" s="71">
        <f t="shared" si="3"/>
        <v>0.26133219592352436</v>
      </c>
      <c r="J15" s="71">
        <f t="shared" si="3"/>
        <v>0.26133219592352436</v>
      </c>
      <c r="K15" s="71">
        <f t="shared" si="3"/>
        <v>0.26133219592352436</v>
      </c>
    </row>
    <row r="16" spans="2:11">
      <c r="C16" s="13"/>
      <c r="D16" s="13"/>
      <c r="E16" s="13"/>
      <c r="G16" s="72"/>
      <c r="H16" s="72"/>
      <c r="I16" s="72"/>
      <c r="J16" s="72"/>
      <c r="K16" s="72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1">
        <f>AVERAGE($C18:$E18)</f>
        <v>6.4866273263650964E-2</v>
      </c>
      <c r="H18" s="71">
        <f t="shared" ref="H18:K18" si="4">AVERAGE($C18:$E18)</f>
        <v>6.4866273263650964E-2</v>
      </c>
      <c r="I18" s="71">
        <f t="shared" si="4"/>
        <v>6.4866273263650964E-2</v>
      </c>
      <c r="J18" s="71">
        <f t="shared" si="4"/>
        <v>6.4866273263650964E-2</v>
      </c>
      <c r="K18" s="71">
        <f t="shared" si="4"/>
        <v>6.4866273263650964E-2</v>
      </c>
    </row>
    <row r="19" spans="2:11">
      <c r="C19" s="13"/>
      <c r="D19" s="13"/>
      <c r="E19" s="13"/>
      <c r="G19" s="72"/>
      <c r="H19" s="72"/>
      <c r="I19" s="72"/>
      <c r="J19" s="72"/>
      <c r="K19" s="72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1">
        <f>AVERAGE($C21:$E21)</f>
        <v>3.5034261583131034E-2</v>
      </c>
      <c r="H21" s="71">
        <f t="shared" ref="H21:K21" si="5">AVERAGE($C21:$E21)</f>
        <v>3.5034261583131034E-2</v>
      </c>
      <c r="I21" s="71">
        <f t="shared" si="5"/>
        <v>3.5034261583131034E-2</v>
      </c>
      <c r="J21" s="71">
        <f t="shared" si="5"/>
        <v>3.5034261583131034E-2</v>
      </c>
      <c r="K21" s="71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G4" sqref="G4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5" t="s">
        <v>101</v>
      </c>
      <c r="C6" s="76">
        <f>+C4+C5</f>
        <v>180723</v>
      </c>
      <c r="D6" s="76">
        <f>+D4+D5</f>
        <v>191034</v>
      </c>
      <c r="E6" s="76">
        <f>+E4+E5</f>
        <v>210951</v>
      </c>
      <c r="F6" s="77"/>
      <c r="G6" s="78">
        <f t="shared" ref="G6:K6" si="0">+G4+G5</f>
        <v>231787.6</v>
      </c>
      <c r="H6" s="78">
        <f t="shared" si="0"/>
        <v>254707.86000000002</v>
      </c>
      <c r="I6" s="78">
        <f t="shared" si="0"/>
        <v>279920.14600000007</v>
      </c>
      <c r="J6" s="78">
        <f t="shared" si="0"/>
        <v>307653.66060000012</v>
      </c>
      <c r="K6" s="78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5" t="s">
        <v>102</v>
      </c>
      <c r="C9" s="76">
        <f>+C6+C8</f>
        <v>38328.632533333293</v>
      </c>
      <c r="D9" s="76">
        <f>+D6+D8</f>
        <v>40461.833600000013</v>
      </c>
      <c r="E9" s="76">
        <f>+E6+E8</f>
        <v>53427.881574603001</v>
      </c>
      <c r="F9" s="77"/>
      <c r="G9" s="78">
        <f t="shared" ref="G9:K9" si="1">+G6+G8</f>
        <v>57593.624000000011</v>
      </c>
      <c r="H9" s="78">
        <f t="shared" si="1"/>
        <v>63094.486399999994</v>
      </c>
      <c r="I9" s="78">
        <f t="shared" si="1"/>
        <v>69145.435040000011</v>
      </c>
      <c r="J9" s="78">
        <f t="shared" si="1"/>
        <v>75801.478544000012</v>
      </c>
      <c r="K9" s="78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5" t="s">
        <v>14</v>
      </c>
      <c r="C12" s="76">
        <f>+C9+C11</f>
        <v>20317.317333333289</v>
      </c>
      <c r="D12" s="76">
        <f>+D9+D11</f>
        <v>21213.936000000016</v>
      </c>
      <c r="E12" s="76">
        <f>+E9+E11</f>
        <v>29560.873574602992</v>
      </c>
      <c r="F12" s="77"/>
      <c r="G12" s="78">
        <f t="shared" ref="G12:K12" si="2">+G9+G11</f>
        <v>34673.364000000009</v>
      </c>
      <c r="H12" s="78">
        <f t="shared" si="2"/>
        <v>37882.200399999987</v>
      </c>
      <c r="I12" s="78">
        <f t="shared" si="2"/>
        <v>41411.920440000002</v>
      </c>
      <c r="J12" s="78">
        <f t="shared" si="2"/>
        <v>45294.612483999997</v>
      </c>
      <c r="K12" s="78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5" t="s">
        <v>16</v>
      </c>
      <c r="C15" s="76">
        <f>+C12+C14</f>
        <v>17409.51733333329</v>
      </c>
      <c r="D15" s="76">
        <f>+D12+D14</f>
        <v>16564.136000000017</v>
      </c>
      <c r="E15" s="76">
        <f>+E12+E14</f>
        <v>23130.213574602993</v>
      </c>
      <c r="F15" s="77"/>
      <c r="G15" s="78">
        <f t="shared" ref="G15:K15" si="3">+G12+G14</f>
        <v>30089.312000000009</v>
      </c>
      <c r="H15" s="78">
        <f t="shared" si="3"/>
        <v>32839.743199999983</v>
      </c>
      <c r="I15" s="78">
        <f t="shared" si="3"/>
        <v>35865.217519999998</v>
      </c>
      <c r="J15" s="78">
        <f t="shared" si="3"/>
        <v>39193.239271999992</v>
      </c>
      <c r="K15" s="78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5" t="s">
        <v>19</v>
      </c>
      <c r="C19" s="76">
        <f>+C15+C17+C18</f>
        <v>15825.63733333329</v>
      </c>
      <c r="D19" s="76">
        <f>+D15+D17+D18</f>
        <v>13508.936000000018</v>
      </c>
      <c r="E19" s="76">
        <f>+E15+E17+E18</f>
        <v>20146.033574602992</v>
      </c>
      <c r="F19" s="77"/>
      <c r="G19" s="78">
        <f t="shared" ref="G19:K19" si="4">+G15+G17+G18</f>
        <v>27425.392000000007</v>
      </c>
      <c r="H19" s="78">
        <f t="shared" si="4"/>
        <v>30175.823199999984</v>
      </c>
      <c r="I19" s="78">
        <f t="shared" si="4"/>
        <v>33201.29752</v>
      </c>
      <c r="J19" s="78">
        <f t="shared" si="4"/>
        <v>36529.319271999993</v>
      </c>
      <c r="K19" s="78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79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3" t="s">
        <v>24</v>
      </c>
      <c r="C24" s="74">
        <f>+C19+C21</f>
        <v>12019.861333333291</v>
      </c>
      <c r="D24" s="74">
        <f>+D19+D21</f>
        <v>10458.744000000017</v>
      </c>
      <c r="E24" s="74">
        <f>+E19+E21</f>
        <v>16331.153574602991</v>
      </c>
      <c r="F24" s="74"/>
      <c r="G24" s="74">
        <f t="shared" ref="G24:K24" si="7">+G19+G21</f>
        <v>22488.821440000007</v>
      </c>
      <c r="H24" s="74">
        <f t="shared" si="7"/>
        <v>24744.175023999989</v>
      </c>
      <c r="I24" s="74">
        <f t="shared" si="7"/>
        <v>27225.063966400001</v>
      </c>
      <c r="J24" s="74">
        <f t="shared" si="7"/>
        <v>29954.041803039996</v>
      </c>
      <c r="K24" s="74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8" sqref="G8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0" t="s">
        <v>37</v>
      </c>
      <c r="C14" s="81">
        <f>SUM(C4:C12)</f>
        <v>144575.6</v>
      </c>
      <c r="D14" s="81">
        <f t="shared" ref="D14:E14" si="2">SUM(D4:D12)</f>
        <v>170464.2</v>
      </c>
      <c r="E14" s="81">
        <f t="shared" si="2"/>
        <v>187652.19999999998</v>
      </c>
      <c r="F14" s="82"/>
      <c r="G14" s="83">
        <f t="shared" ref="G14:K14" si="3">SUM(G4:G12)</f>
        <v>213527.50694734912</v>
      </c>
      <c r="H14" s="83">
        <f t="shared" si="3"/>
        <v>243076.63516462373</v>
      </c>
      <c r="I14" s="83">
        <f t="shared" si="3"/>
        <v>275587.14764362579</v>
      </c>
      <c r="J14" s="83">
        <f t="shared" si="3"/>
        <v>311355.18281052809</v>
      </c>
      <c r="K14" s="83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0" t="s">
        <v>109</v>
      </c>
      <c r="C23" s="81">
        <f>+SUM(C16:C21)</f>
        <v>144575.59999999998</v>
      </c>
      <c r="D23" s="81">
        <f t="shared" ref="D23:E23" si="5">+SUM(D16:D21)</f>
        <v>170464.2</v>
      </c>
      <c r="E23" s="81">
        <f t="shared" si="5"/>
        <v>187652.2</v>
      </c>
      <c r="F23" s="82"/>
      <c r="G23" s="83">
        <f t="shared" ref="G23:K23" si="6">+SUM(G16:G21)</f>
        <v>213527.50694734915</v>
      </c>
      <c r="H23" s="83">
        <f t="shared" si="6"/>
        <v>243076.63516462376</v>
      </c>
      <c r="I23" s="83">
        <f t="shared" si="6"/>
        <v>275587.14764362585</v>
      </c>
      <c r="J23" s="83">
        <f t="shared" si="6"/>
        <v>311355.18281052809</v>
      </c>
      <c r="K23" s="83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>
      <selection activeCell="J23" sqref="J23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5" t="s">
        <v>115</v>
      </c>
      <c r="C7" s="75"/>
      <c r="D7" s="76">
        <f>SUM(D4:D5)</f>
        <v>12824.108279525808</v>
      </c>
      <c r="E7" s="76">
        <f>SUM(E4:E5)</f>
        <v>18750.245238169784</v>
      </c>
      <c r="F7" s="84"/>
      <c r="G7" s="85">
        <f>SUM(G4:G5)</f>
        <v>24673.235840000008</v>
      </c>
      <c r="H7" s="85">
        <f>SUM(H4:H5)</f>
        <v>26928.589423999987</v>
      </c>
      <c r="I7" s="85">
        <f>SUM(I4:I5)</f>
        <v>29409.478366399999</v>
      </c>
      <c r="J7" s="85">
        <f>SUM(J4:J5)</f>
        <v>32138.456203039994</v>
      </c>
      <c r="K7" s="85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173</v>
      </c>
      <c r="C9" s="45" t="s">
        <v>6</v>
      </c>
      <c r="D9" s="46">
        <f>-'P&amp;L'!D14</f>
        <v>4649.8</v>
      </c>
      <c r="E9" s="46">
        <f>-'P&amp;L'!E14</f>
        <v>6430.6600000000008</v>
      </c>
      <c r="F9" s="45"/>
      <c r="G9" s="36">
        <f>-'P&amp;L'!G14</f>
        <v>4584.0520000000006</v>
      </c>
      <c r="H9" s="36">
        <f>-'P&amp;L'!H14</f>
        <v>5042.4572000000007</v>
      </c>
      <c r="I9" s="36">
        <f>-'P&amp;L'!I14</f>
        <v>5546.7029200000015</v>
      </c>
      <c r="J9" s="36">
        <f>-'P&amp;L'!J14</f>
        <v>6101.3732120000022</v>
      </c>
      <c r="K9" s="36">
        <f>-'P&amp;L'!K14</f>
        <v>6711.510533200003</v>
      </c>
      <c r="L9" s="45"/>
      <c r="N9" s="45"/>
      <c r="O9" s="45"/>
    </row>
    <row r="10" spans="2:15">
      <c r="B10" s="75" t="s">
        <v>174</v>
      </c>
      <c r="C10" s="75"/>
      <c r="D10" s="76">
        <f>D7+D9</f>
        <v>17473.908279525807</v>
      </c>
      <c r="E10" s="76">
        <f>E7+E9</f>
        <v>25180.905238169784</v>
      </c>
      <c r="F10" s="84"/>
      <c r="G10" s="85">
        <f t="shared" ref="G10:K10" si="0">G7+G9</f>
        <v>29257.287840000008</v>
      </c>
      <c r="H10" s="85">
        <f t="shared" si="0"/>
        <v>31971.046623999988</v>
      </c>
      <c r="I10" s="85">
        <f t="shared" si="0"/>
        <v>34956.181286400002</v>
      </c>
      <c r="J10" s="85">
        <f t="shared" si="0"/>
        <v>38239.829415039996</v>
      </c>
      <c r="K10" s="85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5" t="s">
        <v>117</v>
      </c>
      <c r="C15" s="75"/>
      <c r="D15" s="76">
        <f>+SUM(D12:D14)</f>
        <v>-441.60000000000582</v>
      </c>
      <c r="E15" s="76">
        <f>+SUM(E12:E14)</f>
        <v>-5002.7999999999956</v>
      </c>
      <c r="F15" s="84"/>
      <c r="G15" s="85">
        <f>+SUM(G12:G14)</f>
        <v>-5418.8424231633617</v>
      </c>
      <c r="H15" s="85">
        <f>+SUM(H12:H14)</f>
        <v>-5902.2842423163602</v>
      </c>
      <c r="I15" s="85">
        <f>+SUM(I12:I14)</f>
        <v>-6492.5126665479838</v>
      </c>
      <c r="J15" s="85">
        <f>+SUM(J12:J14)</f>
        <v>-7141.7639332027829</v>
      </c>
      <c r="K15" s="85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7"/>
      <c r="H22" s="67"/>
      <c r="I22" s="67"/>
      <c r="J22" s="67"/>
      <c r="K22" s="67"/>
      <c r="L22" s="45"/>
      <c r="N22" s="45"/>
      <c r="O22" s="45"/>
    </row>
    <row r="23" spans="2:15">
      <c r="B23" s="73" t="s">
        <v>122</v>
      </c>
      <c r="C23" s="73"/>
      <c r="D23" s="74">
        <f>SUM(D10,D15,D16,D18,D19,D21)</f>
        <v>3980.52561285912</v>
      </c>
      <c r="E23" s="74">
        <f>SUM(E10,E15,E16,E18,E19,E21)</f>
        <v>2517.8756635668306</v>
      </c>
      <c r="F23" s="73"/>
      <c r="G23" s="74">
        <f t="shared" ref="G23:K23" si="1">SUM(G10,G15,G16,G18,G19,G21)</f>
        <v>17757.353581652882</v>
      </c>
      <c r="H23" s="74">
        <f t="shared" si="1"/>
        <v>14352.745840704949</v>
      </c>
      <c r="I23" s="74">
        <f t="shared" si="1"/>
        <v>15576.050424775463</v>
      </c>
      <c r="J23" s="74">
        <f t="shared" si="1"/>
        <v>16921.685467252995</v>
      </c>
      <c r="K23" s="74">
        <f t="shared" si="1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7"/>
      <c r="H24" s="67"/>
      <c r="I24" s="67"/>
      <c r="J24" s="67"/>
      <c r="K24" s="67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3" t="s">
        <v>132</v>
      </c>
      <c r="C30" s="73"/>
      <c r="D30" s="74">
        <f>SUM(D23,D25,D26,D27,D28)</f>
        <v>7617.6000000000568</v>
      </c>
      <c r="E30" s="74">
        <f>SUM(E23,E25,E26,E27,E28)</f>
        <v>-11235.199999999988</v>
      </c>
      <c r="F30" s="73"/>
      <c r="G30" s="74">
        <f>SUM(G23,G25,G26,G27,G28)</f>
        <v>15572.939181652882</v>
      </c>
      <c r="H30" s="74">
        <f>SUM(H23,H25,H26,H27,H28)</f>
        <v>12168.331440704947</v>
      </c>
      <c r="I30" s="74">
        <f>SUM(I23,I25,I26,I27,I28)</f>
        <v>13391.636024775464</v>
      </c>
      <c r="J30" s="74">
        <f>SUM(J23,J25,J26,J27,J28)</f>
        <v>14737.271067252996</v>
      </c>
      <c r="K30" s="74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3" t="s">
        <v>140</v>
      </c>
      <c r="C32" s="63"/>
      <c r="D32" s="64">
        <f>BS!C12</f>
        <v>11791.199999999999</v>
      </c>
      <c r="E32" s="64">
        <f>BS!D12</f>
        <v>19408.8</v>
      </c>
      <c r="F32" s="64"/>
      <c r="G32" s="64">
        <f>BS!E12</f>
        <v>8173.6</v>
      </c>
      <c r="H32" s="64">
        <f>BS!G12</f>
        <v>23746.539181652883</v>
      </c>
      <c r="I32" s="64">
        <f>BS!H12</f>
        <v>35914.870622357834</v>
      </c>
      <c r="J32" s="64">
        <f>BS!I12</f>
        <v>49306.506647133298</v>
      </c>
      <c r="K32" s="64">
        <f>BS!J12</f>
        <v>64043.777714386291</v>
      </c>
      <c r="L32" s="45"/>
    </row>
    <row r="33" spans="2:12">
      <c r="B33" s="63" t="s">
        <v>141</v>
      </c>
      <c r="C33" s="63"/>
      <c r="D33" s="64">
        <f>D30+D32</f>
        <v>19408.800000000054</v>
      </c>
      <c r="E33" s="64">
        <f>E30+E32</f>
        <v>8173.6000000000113</v>
      </c>
      <c r="F33" s="64"/>
      <c r="G33" s="64">
        <f>G30+G32</f>
        <v>23746.539181652883</v>
      </c>
      <c r="H33" s="64">
        <f>H30+H32</f>
        <v>35914.870622357834</v>
      </c>
      <c r="I33" s="64">
        <f>I30+I32</f>
        <v>49306.506647133298</v>
      </c>
      <c r="J33" s="64">
        <f>J30+J32</f>
        <v>64043.777714386291</v>
      </c>
      <c r="K33" s="64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6" t="s">
        <v>110</v>
      </c>
      <c r="C35" s="86"/>
      <c r="D35" s="87">
        <f>BS!D12</f>
        <v>19408.8</v>
      </c>
      <c r="E35" s="86">
        <f>BS!E12</f>
        <v>8173.6</v>
      </c>
      <c r="F35" s="86"/>
      <c r="G35" s="87">
        <f>BS!G12</f>
        <v>23746.539181652883</v>
      </c>
      <c r="H35" s="87">
        <f>BS!H12</f>
        <v>35914.870622357834</v>
      </c>
      <c r="I35" s="87">
        <f>BS!I12</f>
        <v>49306.506647133298</v>
      </c>
      <c r="J35" s="87">
        <f>BS!J12</f>
        <v>64043.777714386291</v>
      </c>
      <c r="K35" s="87">
        <f>BS!K12</f>
        <v>80261.24732836464</v>
      </c>
      <c r="L35" s="45"/>
    </row>
    <row r="36" spans="2:12" outlineLevel="1">
      <c r="B36" s="88"/>
      <c r="C36" s="88"/>
      <c r="D36" s="89">
        <f>D33-D35</f>
        <v>5.4569682106375694E-11</v>
      </c>
      <c r="E36" s="89">
        <f>E33-E35</f>
        <v>1.0913936421275139E-11</v>
      </c>
      <c r="F36" s="88"/>
      <c r="G36" s="88">
        <f>G33-G35</f>
        <v>0</v>
      </c>
      <c r="H36" s="88">
        <f>H33-H35</f>
        <v>0</v>
      </c>
      <c r="I36" s="88">
        <f>I33-I35</f>
        <v>0</v>
      </c>
      <c r="J36" s="88">
        <f>J33-J35</f>
        <v>0</v>
      </c>
      <c r="K36" s="88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"/>
  <sheetViews>
    <sheetView workbookViewId="0">
      <selection activeCell="J16" sqref="J16"/>
    </sheetView>
  </sheetViews>
  <sheetFormatPr defaultRowHeight="12" outlineLevelRow="1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142</v>
      </c>
      <c r="C4" s="90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143</v>
      </c>
      <c r="C5" s="91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17" t="s">
        <v>53</v>
      </c>
      <c r="C7" s="18" t="s">
        <v>54</v>
      </c>
      <c r="D7" s="18" t="s">
        <v>55</v>
      </c>
      <c r="E7" s="18" t="s">
        <v>56</v>
      </c>
      <c r="F7" s="22"/>
      <c r="G7" s="19" t="s">
        <v>57</v>
      </c>
      <c r="H7" s="19" t="s">
        <v>58</v>
      </c>
      <c r="I7" s="19" t="s">
        <v>59</v>
      </c>
      <c r="J7" s="19" t="s">
        <v>60</v>
      </c>
      <c r="K7" s="19" t="s">
        <v>61</v>
      </c>
      <c r="M7" s="23" t="s">
        <v>66</v>
      </c>
      <c r="N7" s="21"/>
      <c r="O7" s="21"/>
      <c r="P7" s="21"/>
      <c r="Q7" s="21"/>
      <c r="R7" s="21"/>
      <c r="S7" s="21"/>
      <c r="T7" s="21"/>
    </row>
    <row r="8" spans="1:20">
      <c r="B8" s="21" t="s">
        <v>122</v>
      </c>
      <c r="C8" s="92"/>
      <c r="D8" s="93"/>
      <c r="E8" s="93"/>
      <c r="F8" s="21"/>
      <c r="G8" s="36">
        <f>'Cash Flow'!G23</f>
        <v>17757.353581652882</v>
      </c>
      <c r="H8" s="36">
        <f>'Cash Flow'!H23</f>
        <v>14352.745840704949</v>
      </c>
      <c r="I8" s="36">
        <f>'Cash Flow'!I23</f>
        <v>15576.050424775463</v>
      </c>
      <c r="J8" s="36">
        <f>'Cash Flow'!J23</f>
        <v>16921.685467252995</v>
      </c>
      <c r="K8" s="36">
        <f>'Cash Flow'!K23</f>
        <v>18401.884013978357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92"/>
      <c r="D9" s="92"/>
      <c r="E9" s="92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144</v>
      </c>
      <c r="C10" s="92"/>
      <c r="D10" s="92"/>
      <c r="E10" s="92"/>
      <c r="F10" s="21"/>
      <c r="G10" s="59">
        <f>1/(1+$C$4)^G6</f>
        <v>0.90909090909090906</v>
      </c>
      <c r="H10" s="59">
        <f t="shared" ref="H10:K10" si="0">1/(1+$C$4)^H6</f>
        <v>0.82644628099173545</v>
      </c>
      <c r="I10" s="59">
        <f t="shared" si="0"/>
        <v>0.75131480090157754</v>
      </c>
      <c r="J10" s="59">
        <f t="shared" si="0"/>
        <v>0.68301345536507052</v>
      </c>
      <c r="K10" s="59">
        <f t="shared" si="0"/>
        <v>0.62092132305915493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 t="s">
        <v>145</v>
      </c>
      <c r="C11" s="94"/>
      <c r="D11" s="94"/>
      <c r="E11" s="94"/>
      <c r="F11" s="76"/>
      <c r="G11" s="85">
        <f>G10*G8</f>
        <v>16143.048710593528</v>
      </c>
      <c r="H11" s="85">
        <f t="shared" ref="H11:K11" si="1">H10*H8</f>
        <v>11861.773422070204</v>
      </c>
      <c r="I11" s="85">
        <f t="shared" si="1"/>
        <v>11702.517223723109</v>
      </c>
      <c r="J11" s="85">
        <f t="shared" si="1"/>
        <v>11557.738861589367</v>
      </c>
      <c r="K11" s="85">
        <f t="shared" si="1"/>
        <v>11426.122168740554</v>
      </c>
      <c r="L11" s="21"/>
      <c r="M11" s="7" t="s">
        <v>155</v>
      </c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114" t="s">
        <v>4</v>
      </c>
      <c r="C14" s="114"/>
      <c r="D14" s="114"/>
      <c r="E14" s="114"/>
      <c r="F14" s="114"/>
      <c r="G14" s="114"/>
      <c r="H14" s="114"/>
      <c r="I14" s="114"/>
      <c r="J14" s="114"/>
      <c r="K14" s="114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146</v>
      </c>
      <c r="C15" s="38">
        <f>SUM(G11:K11)</f>
        <v>62691.200386716766</v>
      </c>
      <c r="D15" s="21" t="s">
        <v>147</v>
      </c>
      <c r="E15" s="60">
        <f>C15/C$18</f>
        <v>0.30085866160702229</v>
      </c>
      <c r="F15" s="61"/>
      <c r="G15" s="39" t="s">
        <v>151</v>
      </c>
      <c r="H15" s="21"/>
      <c r="I15" s="21"/>
      <c r="J15" s="21"/>
      <c r="K15" s="21"/>
      <c r="L15" s="21"/>
      <c r="M15" s="7" t="s">
        <v>156</v>
      </c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148</v>
      </c>
      <c r="C16" s="38">
        <f>(K8*(1+C5))/((C4-C5))</f>
        <v>234624.02117822407</v>
      </c>
      <c r="D16" s="21" t="s">
        <v>147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149</v>
      </c>
      <c r="C17" s="38">
        <f>C16*K10</f>
        <v>145683.05765144207</v>
      </c>
      <c r="D17" s="21" t="s">
        <v>147</v>
      </c>
      <c r="E17" s="60">
        <f>C17/C$18</f>
        <v>0.69914133839297776</v>
      </c>
      <c r="F17" s="61"/>
      <c r="G17" s="39" t="s">
        <v>151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75" t="s">
        <v>150</v>
      </c>
      <c r="C18" s="76">
        <f>C17+C15</f>
        <v>208374.25803815882</v>
      </c>
      <c r="D18" s="75" t="s">
        <v>147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95" t="s">
        <v>152</v>
      </c>
      <c r="C19" s="38">
        <f>-BS!E19</f>
        <v>-51120.799999999996</v>
      </c>
      <c r="D19" s="21" t="s">
        <v>147</v>
      </c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96" t="s">
        <v>153</v>
      </c>
      <c r="C20" s="38">
        <f>BS!E12</f>
        <v>8173.6</v>
      </c>
      <c r="D20" s="21" t="s">
        <v>147</v>
      </c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75" t="s">
        <v>154</v>
      </c>
      <c r="C21" s="76">
        <f>SUM(C18:C20)</f>
        <v>165427.05803815884</v>
      </c>
      <c r="D21" s="75" t="s">
        <v>147</v>
      </c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 ht="12.75" thickBot="1">
      <c r="B25" s="21"/>
      <c r="C25" s="21"/>
      <c r="D25" s="21"/>
      <c r="E25" s="21"/>
      <c r="F25" s="21"/>
      <c r="G25" s="41">
        <f>C18</f>
        <v>208374.25803815882</v>
      </c>
      <c r="H25" s="97">
        <v>0.08</v>
      </c>
      <c r="I25" s="97">
        <v>0.1</v>
      </c>
      <c r="J25" s="97">
        <v>0.12</v>
      </c>
      <c r="K25" s="97">
        <v>0.14000000000000001</v>
      </c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98">
        <v>0.01</v>
      </c>
      <c r="H26" s="36">
        <f t="dataTable" ref="H26:K29" dt2D="1" dtr="1" r1="C4" r2="C5"/>
        <v>246777.5052082802</v>
      </c>
      <c r="I26" s="36">
        <v>190917.68250258296</v>
      </c>
      <c r="J26" s="36">
        <v>155453.19013480499</v>
      </c>
      <c r="K26" s="36">
        <v>130963.69665376421</v>
      </c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98">
        <v>0.02</v>
      </c>
      <c r="H27" s="36">
        <v>278982.11020345148</v>
      </c>
      <c r="I27" s="36">
        <v>208374.25803815882</v>
      </c>
      <c r="J27" s="36">
        <v>166084.76283261602</v>
      </c>
      <c r="K27" s="36">
        <v>137947.92267371959</v>
      </c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98">
        <v>0.03</v>
      </c>
      <c r="H28" s="36">
        <v>324068.55719669117</v>
      </c>
      <c r="I28" s="36">
        <v>230818.42658389919</v>
      </c>
      <c r="J28" s="36">
        <v>179078.90724105167</v>
      </c>
      <c r="K28" s="36">
        <v>146202.00797003045</v>
      </c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98">
        <v>0.04</v>
      </c>
      <c r="H29" s="36">
        <v>391698.22768655082</v>
      </c>
      <c r="I29" s="36">
        <v>260743.98464488634</v>
      </c>
      <c r="J29" s="36">
        <v>195321.58775159629</v>
      </c>
      <c r="K29" s="36">
        <v>156106.9103256035</v>
      </c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B11" sqref="B11: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6"/>
  <sheetViews>
    <sheetView tabSelected="1" workbookViewId="0">
      <selection activeCell="P17" sqref="P17"/>
    </sheetView>
  </sheetViews>
  <sheetFormatPr defaultRowHeight="12"/>
  <cols>
    <col min="1" max="1" width="2" style="1" customWidth="1"/>
    <col min="2" max="2" width="24.1406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68</v>
      </c>
    </row>
    <row r="3" spans="2:11" ht="24.75" thickBot="1">
      <c r="B3" s="17" t="str">
        <f>'P&amp;L'!B3</f>
        <v>$ in thousands</v>
      </c>
      <c r="C3" s="18" t="str">
        <f>'P&amp;L'!C3</f>
        <v>FY11
Actual</v>
      </c>
      <c r="D3" s="18" t="str">
        <f>'P&amp;L'!D3</f>
        <v>FY12
Actual</v>
      </c>
      <c r="E3" s="18" t="str">
        <f>'P&amp;L'!E3</f>
        <v>FY13
Actual</v>
      </c>
      <c r="F3" s="22"/>
      <c r="G3" s="19" t="str">
        <f>'P&amp;L'!G3</f>
        <v>FY14
Forecast</v>
      </c>
      <c r="H3" s="19" t="str">
        <f>'P&amp;L'!H3</f>
        <v>FY15
Forecast</v>
      </c>
      <c r="I3" s="19" t="str">
        <f>'P&amp;L'!I3</f>
        <v>FY16
Forecast</v>
      </c>
      <c r="J3" s="19" t="str">
        <f>'P&amp;L'!J3</f>
        <v>FY17
Forecast</v>
      </c>
      <c r="K3" s="19" t="str">
        <f>'P&amp;L'!K3</f>
        <v>FY18
Forecast</v>
      </c>
    </row>
    <row r="4" spans="2:11">
      <c r="B4" s="1" t="str">
        <f>'P&amp;L'!B4</f>
        <v>Revenues</v>
      </c>
      <c r="C4" s="99">
        <f>'P&amp;L'!C4</f>
        <v>177203</v>
      </c>
      <c r="D4" s="99">
        <f>'P&amp;L'!D4</f>
        <v>188618</v>
      </c>
      <c r="E4" s="99">
        <f>'P&amp;L'!E4</f>
        <v>208366</v>
      </c>
      <c r="F4" s="99"/>
      <c r="G4" s="100">
        <f>'P&amp;L'!G4</f>
        <v>229202.6</v>
      </c>
      <c r="H4" s="100">
        <f>'P&amp;L'!H4</f>
        <v>252122.86000000002</v>
      </c>
      <c r="I4" s="100">
        <f>'P&amp;L'!I4</f>
        <v>277335.14600000007</v>
      </c>
      <c r="J4" s="100">
        <f>'P&amp;L'!J4</f>
        <v>305068.66060000012</v>
      </c>
      <c r="K4" s="100">
        <f>'P&amp;L'!K4</f>
        <v>335575.52666000015</v>
      </c>
    </row>
    <row r="5" spans="2:11">
      <c r="B5" s="1" t="s">
        <v>14</v>
      </c>
      <c r="C5" s="99">
        <f>'P&amp;L'!C12</f>
        <v>20317.317333333289</v>
      </c>
      <c r="D5" s="99">
        <f>'P&amp;L'!D12</f>
        <v>21213.936000000016</v>
      </c>
      <c r="E5" s="99">
        <f>'P&amp;L'!E12</f>
        <v>29560.873574602992</v>
      </c>
      <c r="F5" s="99"/>
      <c r="G5" s="100">
        <f>'P&amp;L'!G12</f>
        <v>34673.364000000009</v>
      </c>
      <c r="H5" s="100">
        <f>'P&amp;L'!H12</f>
        <v>37882.200399999987</v>
      </c>
      <c r="I5" s="100">
        <f>'P&amp;L'!I12</f>
        <v>41411.920440000002</v>
      </c>
      <c r="J5" s="100">
        <f>'P&amp;L'!J12</f>
        <v>45294.612483999997</v>
      </c>
      <c r="K5" s="100">
        <f>'P&amp;L'!K12</f>
        <v>49565.573732400007</v>
      </c>
    </row>
    <row r="6" spans="2:11">
      <c r="B6" s="1" t="s">
        <v>157</v>
      </c>
      <c r="C6" s="26">
        <f>C5/C4</f>
        <v>0.11465560590584409</v>
      </c>
      <c r="D6" s="26">
        <f>D5/D4</f>
        <v>0.11247036868167416</v>
      </c>
      <c r="E6" s="26">
        <f>E5/E4</f>
        <v>0.14186994795025576</v>
      </c>
      <c r="F6" s="26"/>
      <c r="G6" s="70">
        <f>G5/G4</f>
        <v>0.15127823157328935</v>
      </c>
      <c r="H6" s="70">
        <f>H5/H4</f>
        <v>0.15025293779389931</v>
      </c>
      <c r="I6" s="70">
        <f>I5/I4</f>
        <v>0.14932085253990848</v>
      </c>
      <c r="J6" s="70">
        <f>J5/J4</f>
        <v>0.14847350230900769</v>
      </c>
      <c r="K6" s="70">
        <f>K5/K4</f>
        <v>0.14770318391727971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5"/>
  <sheetViews>
    <sheetView workbookViewId="0">
      <selection activeCell="Q17" sqref="Q17"/>
    </sheetView>
  </sheetViews>
  <sheetFormatPr defaultRowHeight="12"/>
  <cols>
    <col min="1" max="1" width="2" style="1" customWidth="1"/>
    <col min="2" max="2" width="19.42578125" style="1" bestFit="1" customWidth="1"/>
    <col min="3" max="16384" width="9.140625" style="1"/>
  </cols>
  <sheetData>
    <row r="1" spans="2:7" ht="15.75">
      <c r="B1" s="2" t="s">
        <v>69</v>
      </c>
    </row>
    <row r="3" spans="2:7" ht="24.75" thickBot="1">
      <c r="B3" s="17" t="s">
        <v>53</v>
      </c>
      <c r="C3" s="19" t="s">
        <v>57</v>
      </c>
      <c r="D3" s="19" t="s">
        <v>58</v>
      </c>
      <c r="E3" s="19" t="s">
        <v>59</v>
      </c>
      <c r="F3" s="19" t="s">
        <v>60</v>
      </c>
      <c r="G3" s="19" t="s">
        <v>61</v>
      </c>
    </row>
    <row r="4" spans="2:7">
      <c r="B4" s="7" t="s">
        <v>122</v>
      </c>
      <c r="C4" s="28">
        <f>'DCF valuation'!G8</f>
        <v>17757.353581652882</v>
      </c>
      <c r="D4" s="28">
        <f>'DCF valuation'!H8</f>
        <v>14352.745840704949</v>
      </c>
      <c r="E4" s="28">
        <f>'DCF valuation'!I8</f>
        <v>15576.050424775463</v>
      </c>
      <c r="F4" s="28">
        <f>'DCF valuation'!J8</f>
        <v>16921.685467252995</v>
      </c>
      <c r="G4" s="28">
        <f>'DCF valuation'!K8</f>
        <v>18401.884013978357</v>
      </c>
    </row>
    <row r="5" spans="2:7">
      <c r="B5" s="7" t="s">
        <v>158</v>
      </c>
      <c r="C5" s="28">
        <f>'DCF valuation'!G11</f>
        <v>16143.048710593528</v>
      </c>
      <c r="D5" s="28">
        <f>'DCF valuation'!H11</f>
        <v>11861.773422070204</v>
      </c>
      <c r="E5" s="28">
        <f>'DCF valuation'!I11</f>
        <v>11702.517223723109</v>
      </c>
      <c r="F5" s="28">
        <f>'DCF valuation'!J11</f>
        <v>11557.738861589367</v>
      </c>
      <c r="G5" s="28">
        <f>'DCF valuation'!K11</f>
        <v>11426.122168740554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7"/>
  <sheetViews>
    <sheetView workbookViewId="0">
      <selection activeCell="P15" sqref="P15"/>
    </sheetView>
  </sheetViews>
  <sheetFormatPr defaultRowHeight="12"/>
  <cols>
    <col min="1" max="1" width="2" style="1" customWidth="1"/>
    <col min="2" max="16384" width="9.140625" style="1"/>
  </cols>
  <sheetData>
    <row r="1" spans="2:15" ht="15.75">
      <c r="B1" s="2" t="s">
        <v>73</v>
      </c>
    </row>
    <row r="2" spans="2:15">
      <c r="K2" s="101">
        <f>C3</f>
        <v>29560.873574602992</v>
      </c>
      <c r="L2" s="101">
        <f>K2</f>
        <v>29560.873574602992</v>
      </c>
      <c r="M2" s="102">
        <f>L2+L3+C5</f>
        <v>33726.616000000002</v>
      </c>
      <c r="N2" s="102">
        <f>M2</f>
        <v>33726.616000000002</v>
      </c>
      <c r="O2" s="103"/>
    </row>
    <row r="3" spans="2:15">
      <c r="B3" s="1" t="s">
        <v>159</v>
      </c>
      <c r="C3" s="1">
        <f>'P&amp;L'!E12</f>
        <v>29560.873574602992</v>
      </c>
      <c r="K3" s="104">
        <v>0</v>
      </c>
      <c r="L3" s="101">
        <f>C4</f>
        <v>20836.600000000006</v>
      </c>
      <c r="M3" s="102">
        <f>-C5</f>
        <v>16670.857574602996</v>
      </c>
      <c r="N3" s="102">
        <f>C6</f>
        <v>946.74800000000687</v>
      </c>
      <c r="O3" s="102">
        <f>N3+N2</f>
        <v>34673.364000000009</v>
      </c>
    </row>
    <row r="4" spans="2:15" ht="24">
      <c r="B4" s="1" t="s">
        <v>160</v>
      </c>
      <c r="C4" s="1">
        <f>'P&amp;L'!G4-'P&amp;L'!E4</f>
        <v>20836.600000000006</v>
      </c>
      <c r="K4" s="105" t="str">
        <f>B3</f>
        <v>EBITDA FY13</v>
      </c>
      <c r="L4" s="106" t="str">
        <f>B4</f>
        <v>Delta Revenues</v>
      </c>
      <c r="M4" s="106" t="str">
        <f>B5</f>
        <v>Delta Cogs</v>
      </c>
      <c r="N4" s="106" t="str">
        <f>B6</f>
        <v>Delta Opex</v>
      </c>
      <c r="O4" s="107" t="str">
        <f>B7</f>
        <v>EBITDA FY14</v>
      </c>
    </row>
    <row r="5" spans="2:15">
      <c r="B5" s="1" t="s">
        <v>161</v>
      </c>
      <c r="C5" s="1">
        <f>'P&amp;L'!G8-'P&amp;L'!E8</f>
        <v>-16670.857574602996</v>
      </c>
    </row>
    <row r="6" spans="2:15">
      <c r="B6" s="1" t="s">
        <v>162</v>
      </c>
      <c r="C6" s="1">
        <f>'P&amp;L'!G11-'P&amp;L'!E11</f>
        <v>946.74800000000687</v>
      </c>
    </row>
    <row r="7" spans="2:15">
      <c r="B7" s="1" t="s">
        <v>163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1"/>
  <sheetViews>
    <sheetView workbookViewId="0">
      <selection activeCell="G7" sqref="G7:K7"/>
    </sheetView>
  </sheetViews>
  <sheetFormatPr defaultRowHeight="12"/>
  <cols>
    <col min="1" max="1" width="2" style="1" customWidth="1"/>
    <col min="2" max="2" width="18.425781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74</v>
      </c>
    </row>
    <row r="3" spans="2:11" ht="24.75" thickBot="1">
      <c r="B3" s="17" t="str">
        <f>BS!B3</f>
        <v>$ in thousands</v>
      </c>
      <c r="C3" s="18" t="str">
        <f>BS!C3</f>
        <v>FY11
Actual</v>
      </c>
      <c r="D3" s="18" t="str">
        <f>BS!D3</f>
        <v>FY12
Actual</v>
      </c>
      <c r="E3" s="18" t="str">
        <f>BS!E3</f>
        <v>FY13
Actual</v>
      </c>
      <c r="F3" s="22"/>
      <c r="G3" s="19" t="str">
        <f>BS!G3</f>
        <v>FY14
Forecast</v>
      </c>
      <c r="H3" s="19" t="str">
        <f>BS!H3</f>
        <v>FY15
Forecast</v>
      </c>
      <c r="I3" s="19" t="str">
        <f>BS!I3</f>
        <v>FY16
Forecast</v>
      </c>
      <c r="J3" s="19" t="str">
        <f>BS!J3</f>
        <v>FY17
Forecast</v>
      </c>
      <c r="K3" s="19" t="str">
        <f>BS!K3</f>
        <v>FY18
Forecast</v>
      </c>
    </row>
    <row r="4" spans="2:11">
      <c r="B4" s="11" t="str">
        <f>BS!B8</f>
        <v>Inventory</v>
      </c>
      <c r="C4" s="99">
        <f>BS!C8</f>
        <v>31167.200000000001</v>
      </c>
      <c r="D4" s="99">
        <f>BS!D8</f>
        <v>36396.800000000003</v>
      </c>
      <c r="E4" s="99">
        <f>BS!E8</f>
        <v>46212</v>
      </c>
      <c r="F4" s="99"/>
      <c r="G4" s="100">
        <f>BS!G8</f>
        <v>51102.670511975753</v>
      </c>
      <c r="H4" s="100">
        <f>BS!H8</f>
        <v>56212.937563173342</v>
      </c>
      <c r="I4" s="100">
        <f>BS!I8</f>
        <v>61834.231319490689</v>
      </c>
      <c r="J4" s="100">
        <f>BS!J8</f>
        <v>68017.654451439768</v>
      </c>
      <c r="K4" s="100">
        <f>BS!K8</f>
        <v>74819.419896583742</v>
      </c>
    </row>
    <row r="5" spans="2:11">
      <c r="B5" s="1" t="str">
        <f>BS!B9</f>
        <v>Trade receivable</v>
      </c>
      <c r="C5" s="99">
        <f>BS!C9</f>
        <v>32883.599999999999</v>
      </c>
      <c r="D5" s="99">
        <f>BS!D9</f>
        <v>38556</v>
      </c>
      <c r="E5" s="99">
        <f>BS!E9</f>
        <v>43581.599999999999</v>
      </c>
      <c r="F5" s="99"/>
      <c r="G5" s="100">
        <f>BS!G9</f>
        <v>47939.759999999995</v>
      </c>
      <c r="H5" s="100">
        <f>BS!H9</f>
        <v>52733.736000000004</v>
      </c>
      <c r="I5" s="100">
        <f>BS!I9</f>
        <v>58007.109600000011</v>
      </c>
      <c r="J5" s="100">
        <f>BS!J9</f>
        <v>63807.820560000022</v>
      </c>
      <c r="K5" s="100">
        <f>BS!K9</f>
        <v>70188.602616000018</v>
      </c>
    </row>
    <row r="6" spans="2:11">
      <c r="B6" s="1" t="str">
        <f>BS!B16</f>
        <v>Trade payable</v>
      </c>
      <c r="C6" s="99">
        <f>BS!C16</f>
        <v>15891.2</v>
      </c>
      <c r="D6" s="99">
        <f>BS!D16</f>
        <v>26351.599999999999</v>
      </c>
      <c r="E6" s="99">
        <f>BS!E16</f>
        <v>36189.599999999999</v>
      </c>
      <c r="F6" s="99"/>
      <c r="G6" s="100">
        <f>BS!G16</f>
        <v>40019.588088812387</v>
      </c>
      <c r="H6" s="100">
        <f>BS!H16</f>
        <v>44021.546897693624</v>
      </c>
      <c r="I6" s="100">
        <f>BS!I16</f>
        <v>48423.701587462994</v>
      </c>
      <c r="J6" s="100">
        <f>BS!J16</f>
        <v>53266.071746209302</v>
      </c>
      <c r="K6" s="100">
        <f>BS!K16</f>
        <v>58592.678920830236</v>
      </c>
    </row>
    <row r="7" spans="2:11">
      <c r="B7" s="108" t="s">
        <v>74</v>
      </c>
      <c r="C7" s="109">
        <f>C4+C5-C6</f>
        <v>48159.600000000006</v>
      </c>
      <c r="D7" s="109">
        <f>D4+D5-D6</f>
        <v>48601.200000000004</v>
      </c>
      <c r="E7" s="109">
        <f>E4+E5-E6</f>
        <v>53604.000000000007</v>
      </c>
      <c r="F7" s="109"/>
      <c r="G7" s="110">
        <f>G4+G5-G6</f>
        <v>59022.842423163362</v>
      </c>
      <c r="H7" s="110">
        <f>H4+H5-H6</f>
        <v>64925.126665479722</v>
      </c>
      <c r="I7" s="110">
        <f>I4+I5-I6</f>
        <v>71417.639332027698</v>
      </c>
      <c r="J7" s="110">
        <f>J4+J5-J6</f>
        <v>78559.403265230489</v>
      </c>
      <c r="K7" s="110">
        <f>K4+K5-K6</f>
        <v>86415.343591753524</v>
      </c>
    </row>
    <row r="9" spans="2:11">
      <c r="B9" s="11" t="s">
        <v>164</v>
      </c>
      <c r="C9" s="99">
        <f>'BS assumptions'!C6</f>
        <v>66.805279820319072</v>
      </c>
      <c r="D9" s="99">
        <f>'BS assumptions'!D6</f>
        <v>73.588734903349632</v>
      </c>
      <c r="E9" s="99">
        <f>'BS assumptions'!E6</f>
        <v>75.297198199322338</v>
      </c>
      <c r="F9" s="99"/>
      <c r="G9" s="100">
        <f>'BS assumptions'!G6</f>
        <v>75.297198199322338</v>
      </c>
      <c r="H9" s="100">
        <f>'BS assumptions'!H6</f>
        <v>75.297198199322338</v>
      </c>
      <c r="I9" s="100">
        <f>'BS assumptions'!I6</f>
        <v>75.297198199322338</v>
      </c>
      <c r="J9" s="100">
        <f>'BS assumptions'!J6</f>
        <v>75.297198199322338</v>
      </c>
      <c r="K9" s="100">
        <f>'BS assumptions'!K6</f>
        <v>75.297198199322338</v>
      </c>
    </row>
    <row r="10" spans="2:11">
      <c r="B10" s="1" t="s">
        <v>165</v>
      </c>
      <c r="C10" s="99">
        <f>'BS assumptions'!C9</f>
        <v>78.796599890979181</v>
      </c>
      <c r="D10" s="99">
        <f>'BS assumptions'!D9</f>
        <v>87.020385727810066</v>
      </c>
      <c r="E10" s="99">
        <f>'BS assumptions'!E9</f>
        <v>105.61192646702818</v>
      </c>
      <c r="F10" s="99"/>
      <c r="G10" s="100">
        <f>'BS assumptions'!G9</f>
        <v>105.61192646702818</v>
      </c>
      <c r="H10" s="100">
        <f>'BS assumptions'!H9</f>
        <v>105.61192646702818</v>
      </c>
      <c r="I10" s="100">
        <f>'BS assumptions'!I9</f>
        <v>105.61192646702818</v>
      </c>
      <c r="J10" s="100">
        <f>'BS assumptions'!J9</f>
        <v>105.61192646702818</v>
      </c>
      <c r="K10" s="100">
        <f>'BS assumptions'!K9</f>
        <v>105.61192646702818</v>
      </c>
    </row>
    <row r="11" spans="2:11">
      <c r="B11" s="1" t="s">
        <v>166</v>
      </c>
      <c r="C11" s="99">
        <f>'BS assumptions'!C12</f>
        <v>40.175971155173656</v>
      </c>
      <c r="D11" s="99">
        <f>'BS assumptions'!D12</f>
        <v>63.003516697758023</v>
      </c>
      <c r="E11" s="99">
        <f>'BS assumptions'!E12</f>
        <v>82.706945686643365</v>
      </c>
      <c r="F11" s="99"/>
      <c r="G11" s="100">
        <f>'BS assumptions'!G12</f>
        <v>82.706945686643365</v>
      </c>
      <c r="H11" s="100">
        <f>'BS assumptions'!H12</f>
        <v>82.706945686643365</v>
      </c>
      <c r="I11" s="100">
        <f>'BS assumptions'!I12</f>
        <v>82.706945686643365</v>
      </c>
      <c r="J11" s="100">
        <f>'BS assumptions'!J12</f>
        <v>82.706945686643365</v>
      </c>
      <c r="K11" s="100">
        <f>'BS assumptions'!K12</f>
        <v>82.706945686643365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7"/>
  <sheetViews>
    <sheetView workbookViewId="0">
      <selection activeCell="L19" sqref="L19"/>
    </sheetView>
  </sheetViews>
  <sheetFormatPr defaultRowHeight="12"/>
  <cols>
    <col min="1" max="1" width="2" style="1" customWidth="1"/>
    <col min="2" max="2" width="19.140625" style="1" bestFit="1" customWidth="1"/>
    <col min="3" max="6" width="9.140625" style="1"/>
    <col min="7" max="7" width="19.140625" style="1" bestFit="1" customWidth="1"/>
    <col min="8" max="12" width="9.140625" style="1"/>
    <col min="13" max="13" width="19.140625" style="1" bestFit="1" customWidth="1"/>
    <col min="14" max="16384" width="9.140625" style="1"/>
  </cols>
  <sheetData>
    <row r="1" spans="2:14" ht="15.75">
      <c r="B1" s="2" t="s">
        <v>75</v>
      </c>
    </row>
    <row r="4" spans="2:14" ht="12.75" thickBot="1">
      <c r="B4" s="111" t="s">
        <v>167</v>
      </c>
      <c r="C4" s="112"/>
      <c r="G4" s="111" t="s">
        <v>168</v>
      </c>
      <c r="H4" s="112"/>
      <c r="M4" s="111" t="s">
        <v>169</v>
      </c>
      <c r="N4" s="112"/>
    </row>
    <row r="5" spans="2:14">
      <c r="B5" s="1" t="s">
        <v>170</v>
      </c>
      <c r="C5" s="51">
        <v>208374.25803815882</v>
      </c>
      <c r="G5" s="1" t="s">
        <v>170</v>
      </c>
      <c r="H5" s="51">
        <v>135602.88371797375</v>
      </c>
      <c r="M5" s="1" t="s">
        <v>170</v>
      </c>
      <c r="N5" s="99">
        <v>101216.94166051672</v>
      </c>
    </row>
    <row r="6" spans="2:14">
      <c r="B6" s="1" t="s">
        <v>171</v>
      </c>
      <c r="C6" s="26">
        <v>0.30085866160702229</v>
      </c>
      <c r="G6" s="1" t="s">
        <v>171</v>
      </c>
      <c r="H6" s="113">
        <v>0.31591165336933186</v>
      </c>
      <c r="M6" s="1" t="s">
        <v>171</v>
      </c>
      <c r="N6" s="26">
        <v>0.33470503116615574</v>
      </c>
    </row>
    <row r="7" spans="2:14">
      <c r="B7" s="1" t="s">
        <v>172</v>
      </c>
      <c r="C7" s="26">
        <v>0.69914133839297776</v>
      </c>
      <c r="G7" s="1" t="s">
        <v>172</v>
      </c>
      <c r="H7" s="113">
        <v>0.6840883466306682</v>
      </c>
      <c r="M7" s="1" t="s">
        <v>172</v>
      </c>
      <c r="N7" s="26">
        <v>0.6652949688338442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6"/>
      <c r="K5" s="66"/>
      <c r="L5" s="66"/>
      <c r="M5" s="66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2016-06-21T15:11:12Z</dcterms:modified>
</cp:coreProperties>
</file>