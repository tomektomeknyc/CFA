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2" activeTab="5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20" i="9" l="1"/>
  <c r="D20" i="9"/>
  <c r="C20" i="9"/>
  <c r="E17" i="9"/>
  <c r="D17" i="9"/>
  <c r="C17" i="9"/>
  <c r="E14" i="9"/>
  <c r="D14" i="9"/>
  <c r="C14" i="9"/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C9" i="9" l="1"/>
  <c r="C12" i="9"/>
  <c r="G39" i="8"/>
  <c r="H39" i="8" s="1"/>
  <c r="I39" i="8" s="1"/>
  <c r="J39" i="8" s="1"/>
  <c r="K39" i="8" s="1"/>
  <c r="E40" i="8"/>
  <c r="D9" i="9"/>
  <c r="D12" i="9"/>
  <c r="E12" i="9"/>
  <c r="E9" i="9"/>
  <c r="D40" i="8"/>
  <c r="D16" i="8"/>
  <c r="E15" i="8"/>
  <c r="G15" i="8" s="1"/>
  <c r="H15" i="8" s="1"/>
  <c r="I15" i="8" s="1"/>
  <c r="J15" i="8" s="1"/>
  <c r="K15" i="8" s="1"/>
  <c r="D15" i="8"/>
  <c r="C15" i="8"/>
  <c r="E16" i="8" l="1"/>
  <c r="I12" i="9"/>
  <c r="H12" i="9"/>
  <c r="K12" i="9"/>
  <c r="G12" i="9"/>
  <c r="J12" i="9"/>
  <c r="J9" i="9"/>
  <c r="K9" i="9"/>
  <c r="I9" i="9"/>
  <c r="G9" i="9"/>
  <c r="H9" i="9"/>
  <c r="K10" i="8"/>
  <c r="J10" i="8"/>
  <c r="I10" i="8"/>
  <c r="H10" i="8"/>
  <c r="G10" i="8"/>
  <c r="E10" i="8" l="1"/>
  <c r="E9" i="8"/>
  <c r="D9" i="8"/>
  <c r="C9" i="8"/>
  <c r="D15" i="9" l="1"/>
  <c r="D18" i="9"/>
  <c r="D21" i="9"/>
  <c r="D6" i="9"/>
  <c r="D34" i="8"/>
  <c r="D28" i="8"/>
  <c r="D46" i="8"/>
  <c r="D22" i="8"/>
  <c r="C15" i="9"/>
  <c r="C21" i="9"/>
  <c r="C18" i="9"/>
  <c r="C6" i="9"/>
  <c r="C34" i="8"/>
  <c r="C28" i="8"/>
  <c r="C46" i="8"/>
  <c r="C22" i="8"/>
  <c r="E18" i="9"/>
  <c r="E15" i="9"/>
  <c r="E21" i="9"/>
  <c r="E6" i="9"/>
  <c r="E28" i="8"/>
  <c r="E46" i="8"/>
  <c r="E34" i="8"/>
  <c r="E22" i="8"/>
  <c r="D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6" i="9" l="1"/>
  <c r="G6" i="9"/>
  <c r="G5" i="9" s="1"/>
  <c r="J6" i="9"/>
  <c r="I6" i="9"/>
  <c r="H6" i="9"/>
  <c r="H5" i="9" s="1"/>
  <c r="J18" i="9"/>
  <c r="I18" i="9"/>
  <c r="G18" i="9"/>
  <c r="G17" i="9" s="1"/>
  <c r="H18" i="9"/>
  <c r="H17" i="9" s="1"/>
  <c r="K18" i="9"/>
  <c r="H9" i="8"/>
  <c r="G45" i="8"/>
  <c r="G27" i="8"/>
  <c r="G21" i="8"/>
  <c r="G33" i="8"/>
  <c r="J21" i="9"/>
  <c r="I21" i="9"/>
  <c r="H21" i="9"/>
  <c r="K21" i="9"/>
  <c r="G21" i="9"/>
  <c r="G20" i="9" s="1"/>
  <c r="K15" i="9"/>
  <c r="G15" i="9"/>
  <c r="G14" i="9" s="1"/>
  <c r="J15" i="9"/>
  <c r="I15" i="9"/>
  <c r="H15" i="9"/>
  <c r="H14" i="9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I5" i="9" s="1"/>
  <c r="H45" i="8"/>
  <c r="H27" i="8"/>
  <c r="H21" i="8"/>
  <c r="H33" i="8"/>
  <c r="H20" i="9"/>
  <c r="G8" i="9"/>
  <c r="G11" i="9"/>
  <c r="E8" i="3"/>
  <c r="K17" i="3"/>
  <c r="J17" i="3"/>
  <c r="D15" i="3"/>
  <c r="F15" i="3"/>
  <c r="F8" i="3"/>
  <c r="D8" i="3"/>
  <c r="L17" i="3"/>
  <c r="E15" i="3"/>
  <c r="L8" i="3"/>
  <c r="K8" i="3"/>
  <c r="J8" i="3"/>
  <c r="I17" i="9" l="1"/>
  <c r="J9" i="8"/>
  <c r="I45" i="8"/>
  <c r="I27" i="8"/>
  <c r="I33" i="8"/>
  <c r="I21" i="8"/>
  <c r="H11" i="9"/>
  <c r="H8" i="9"/>
  <c r="I14" i="9"/>
  <c r="I20" i="9"/>
  <c r="D19" i="3"/>
  <c r="F19" i="3"/>
  <c r="L19" i="3"/>
  <c r="J19" i="3"/>
  <c r="K19" i="3"/>
  <c r="E19" i="3"/>
  <c r="I11" i="9" l="1"/>
  <c r="I8" i="9"/>
  <c r="K9" i="8"/>
  <c r="J45" i="8"/>
  <c r="J27" i="8"/>
  <c r="J21" i="8"/>
  <c r="J33" i="8"/>
  <c r="J5" i="9"/>
  <c r="J14" i="9"/>
  <c r="J20" i="9"/>
  <c r="J17" i="9"/>
  <c r="L22" i="3"/>
  <c r="K22" i="3"/>
  <c r="J22" i="3"/>
  <c r="K45" i="8" l="1"/>
  <c r="K27" i="8"/>
  <c r="K33" i="8"/>
  <c r="K21" i="8"/>
  <c r="K14" i="9"/>
  <c r="K20" i="9"/>
  <c r="K17" i="9"/>
  <c r="K5" i="9"/>
  <c r="J8" i="9"/>
  <c r="J11" i="9"/>
  <c r="K8" i="9" l="1"/>
  <c r="K11" i="9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<sst xmlns="http://schemas.openxmlformats.org/spreadsheetml/2006/main" count="204" uniqueCount="102">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</sst>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7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4">
        <v>1</v>
      </c>
      <c r="C5" s="55" t="s">
        <v>70</v>
      </c>
    </row>
    <row r="6" spans="2:3">
      <c r="B6" s="29">
        <f>B5+1</f>
        <v>2</v>
      </c>
      <c r="C6" s="67" t="s">
        <v>26</v>
      </c>
    </row>
    <row r="7" spans="2:3">
      <c r="B7" s="29">
        <f t="shared" ref="B7:B21" si="0">B6+1</f>
        <v>3</v>
      </c>
      <c r="C7" s="67" t="s">
        <v>27</v>
      </c>
    </row>
    <row r="8" spans="2:3">
      <c r="B8" s="54">
        <f t="shared" si="0"/>
        <v>4</v>
      </c>
      <c r="C8" s="55" t="s">
        <v>71</v>
      </c>
    </row>
    <row r="9" spans="2:3">
      <c r="B9" s="29">
        <f t="shared" si="0"/>
        <v>5</v>
      </c>
      <c r="C9" s="67" t="s">
        <v>6</v>
      </c>
    </row>
    <row r="10" spans="2:3">
      <c r="B10" s="29">
        <f t="shared" si="0"/>
        <v>6</v>
      </c>
      <c r="C10" s="67" t="s">
        <v>25</v>
      </c>
    </row>
    <row r="11" spans="2:3">
      <c r="B11" s="29">
        <f t="shared" si="0"/>
        <v>7</v>
      </c>
      <c r="C11" s="67" t="s">
        <v>28</v>
      </c>
    </row>
    <row r="12" spans="2:3">
      <c r="B12" s="29">
        <f t="shared" si="0"/>
        <v>8</v>
      </c>
      <c r="C12" s="67" t="s">
        <v>65</v>
      </c>
    </row>
    <row r="13" spans="2:3">
      <c r="B13" s="54">
        <f t="shared" si="0"/>
        <v>9</v>
      </c>
      <c r="C13" s="55" t="s">
        <v>77</v>
      </c>
    </row>
    <row r="14" spans="2:3">
      <c r="B14" s="29">
        <f t="shared" si="0"/>
        <v>10</v>
      </c>
      <c r="C14" s="67" t="s">
        <v>72</v>
      </c>
    </row>
    <row r="15" spans="2:3">
      <c r="B15" s="29">
        <f t="shared" si="0"/>
        <v>11</v>
      </c>
      <c r="C15" s="67" t="s">
        <v>69</v>
      </c>
    </row>
    <row r="16" spans="2:3">
      <c r="B16" s="29">
        <f t="shared" si="0"/>
        <v>12</v>
      </c>
      <c r="C16" s="67" t="s">
        <v>73</v>
      </c>
    </row>
    <row r="17" spans="2:3">
      <c r="B17" s="29">
        <f t="shared" si="0"/>
        <v>13</v>
      </c>
      <c r="C17" s="67" t="s">
        <v>74</v>
      </c>
    </row>
    <row r="18" spans="2:3">
      <c r="B18" s="29">
        <f t="shared" si="0"/>
        <v>14</v>
      </c>
      <c r="C18" s="67" t="s">
        <v>75</v>
      </c>
    </row>
    <row r="19" spans="2:3">
      <c r="B19" s="54">
        <f t="shared" si="0"/>
        <v>15</v>
      </c>
      <c r="C19" s="55" t="s">
        <v>76</v>
      </c>
    </row>
    <row r="20" spans="2:3">
      <c r="B20" s="29">
        <f t="shared" si="0"/>
        <v>16</v>
      </c>
      <c r="C20" s="67" t="s">
        <v>1</v>
      </c>
    </row>
    <row r="21" spans="2:3">
      <c r="B21" s="29">
        <f t="shared" si="0"/>
        <v>17</v>
      </c>
      <c r="C21" s="67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3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49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4"/>
      <c r="D11" s="74"/>
      <c r="E11" s="74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4"/>
      <c r="D12" s="74"/>
      <c r="E12" s="74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4"/>
      <c r="D13" s="74"/>
      <c r="E13" s="74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4"/>
      <c r="D17" s="74"/>
      <c r="E17" s="74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4"/>
      <c r="D18" s="74"/>
      <c r="E18" s="74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4"/>
      <c r="D19" s="74"/>
      <c r="E19" s="74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1">
        <f>G$9*G22</f>
        <v>-174193.976</v>
      </c>
      <c r="H21" s="51">
        <f t="shared" ref="H21:K21" si="6">H$9*H22</f>
        <v>-191613.37360000002</v>
      </c>
      <c r="I21" s="51">
        <f t="shared" si="6"/>
        <v>-210774.71096000005</v>
      </c>
      <c r="J21" s="51">
        <f t="shared" si="6"/>
        <v>-231852.18205600011</v>
      </c>
      <c r="K21" s="51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4"/>
      <c r="D23" s="74"/>
      <c r="E23" s="74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4"/>
      <c r="D24" s="74"/>
      <c r="E24" s="74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4"/>
      <c r="D25" s="74"/>
      <c r="E25" s="74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1">
        <f>G$9*G28</f>
        <v>-22920.260000000002</v>
      </c>
      <c r="H27" s="51">
        <f t="shared" ref="H27:K27" si="8">H$9*H28</f>
        <v>-25212.286000000004</v>
      </c>
      <c r="I27" s="51">
        <f t="shared" si="8"/>
        <v>-27733.51460000001</v>
      </c>
      <c r="J27" s="51">
        <f t="shared" si="8"/>
        <v>-30506.866060000015</v>
      </c>
      <c r="K27" s="51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4"/>
      <c r="D29" s="74"/>
      <c r="E29" s="74"/>
      <c r="G29" s="75">
        <v>-0.1</v>
      </c>
      <c r="H29" s="75">
        <v>-0.1</v>
      </c>
      <c r="I29" s="75">
        <v>-0.1</v>
      </c>
      <c r="J29" s="75">
        <v>-0.1</v>
      </c>
      <c r="K29" s="75">
        <v>-0.1</v>
      </c>
    </row>
    <row r="30" spans="2:11" ht="12" customHeight="1">
      <c r="B30" s="7" t="s">
        <v>89</v>
      </c>
      <c r="C30" s="74"/>
      <c r="D30" s="74"/>
      <c r="E30" s="74"/>
      <c r="G30" s="75">
        <v>-0.105</v>
      </c>
      <c r="H30" s="75">
        <v>-0.105</v>
      </c>
      <c r="I30" s="75">
        <v>-0.105</v>
      </c>
      <c r="J30" s="75">
        <v>-0.105</v>
      </c>
      <c r="K30" s="75">
        <v>-0.105</v>
      </c>
    </row>
    <row r="31" spans="2:11" ht="12" customHeight="1">
      <c r="B31" s="7" t="s">
        <v>90</v>
      </c>
      <c r="C31" s="74"/>
      <c r="D31" s="74"/>
      <c r="E31" s="74"/>
      <c r="G31" s="75">
        <v>-0.11</v>
      </c>
      <c r="H31" s="75">
        <v>-0.11</v>
      </c>
      <c r="I31" s="75">
        <v>-0.11</v>
      </c>
      <c r="J31" s="75">
        <v>-0.11</v>
      </c>
      <c r="K31" s="75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1">
        <f>G$9*G34</f>
        <v>-4584.0520000000006</v>
      </c>
      <c r="H33" s="51">
        <f t="shared" ref="H33:K33" si="10">H$9*H34</f>
        <v>-5042.4572000000007</v>
      </c>
      <c r="I33" s="51">
        <f t="shared" si="10"/>
        <v>-5546.7029200000015</v>
      </c>
      <c r="J33" s="51">
        <f t="shared" si="10"/>
        <v>-6101.3732120000022</v>
      </c>
      <c r="K33" s="51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4"/>
      <c r="D35" s="74"/>
      <c r="E35" s="74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4"/>
      <c r="D36" s="74"/>
      <c r="E36" s="74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4"/>
      <c r="D37" s="74"/>
      <c r="E37" s="74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49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4"/>
      <c r="D41" s="74"/>
      <c r="E41" s="74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4"/>
      <c r="D42" s="74"/>
      <c r="E42" s="74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4"/>
      <c r="D43" s="74"/>
      <c r="E43" s="74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1">
        <f>G$9*G46</f>
        <v>0</v>
      </c>
      <c r="H45" s="51">
        <f t="shared" ref="H45:K45" si="16">H$9*H46</f>
        <v>0</v>
      </c>
      <c r="I45" s="51">
        <f t="shared" si="16"/>
        <v>0</v>
      </c>
      <c r="J45" s="51">
        <f t="shared" si="16"/>
        <v>0</v>
      </c>
      <c r="K45" s="51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4"/>
      <c r="D47" s="74"/>
      <c r="E47" s="74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4"/>
      <c r="D48" s="74"/>
      <c r="E48" s="74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4"/>
      <c r="D49" s="74"/>
      <c r="E49" s="74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4"/>
      <c r="D53" s="74"/>
      <c r="E53" s="74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4"/>
      <c r="D54" s="74"/>
      <c r="E54" s="74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4"/>
      <c r="D55" s="74"/>
      <c r="E55" s="74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0"/>
      <c r="H57" s="50"/>
      <c r="I57" s="50"/>
      <c r="J57" s="50"/>
      <c r="K57" s="50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3">
        <f>$E$6</f>
        <v>75.297198199322338</v>
      </c>
      <c r="H6" s="53">
        <f t="shared" ref="H6:K6" si="0">$E$6</f>
        <v>75.297198199322338</v>
      </c>
      <c r="I6" s="53">
        <f t="shared" si="0"/>
        <v>75.297198199322338</v>
      </c>
      <c r="J6" s="53">
        <f t="shared" si="0"/>
        <v>75.297198199322338</v>
      </c>
      <c r="K6" s="53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3">
        <f>$E$9</f>
        <v>105.61192646702818</v>
      </c>
      <c r="H9" s="53">
        <f t="shared" ref="H9:K9" si="1">$E$9</f>
        <v>105.61192646702818</v>
      </c>
      <c r="I9" s="53">
        <f t="shared" si="1"/>
        <v>105.61192646702818</v>
      </c>
      <c r="J9" s="53">
        <f t="shared" si="1"/>
        <v>105.61192646702818</v>
      </c>
      <c r="K9" s="53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3">
        <f>$E$12</f>
        <v>82.706945686643365</v>
      </c>
      <c r="H12" s="53">
        <f t="shared" ref="H12:K12" si="2">$E$12</f>
        <v>82.706945686643365</v>
      </c>
      <c r="I12" s="53">
        <f t="shared" si="2"/>
        <v>82.706945686643365</v>
      </c>
      <c r="J12" s="53">
        <f t="shared" si="2"/>
        <v>82.706945686643365</v>
      </c>
      <c r="K12" s="53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98</v>
      </c>
      <c r="C15" s="52">
        <f>C14/'P&amp;L assumptions'!C$9</f>
        <v>0.25454648059005774</v>
      </c>
      <c r="D15" s="52">
        <f>D14/'P&amp;L assumptions'!D$9</f>
        <v>0.26016817058817293</v>
      </c>
      <c r="E15" s="52">
        <f>E14/'P&amp;L assumptions'!E$9</f>
        <v>0.26928193659234229</v>
      </c>
      <c r="G15" s="76">
        <f>AVERAGE($C15:$E15)</f>
        <v>0.26133219592352436</v>
      </c>
      <c r="H15" s="76">
        <f t="shared" ref="H15:K15" si="3">AVERAGE($C15:$E15)</f>
        <v>0.26133219592352436</v>
      </c>
      <c r="I15" s="76">
        <f t="shared" si="3"/>
        <v>0.26133219592352436</v>
      </c>
      <c r="J15" s="76">
        <f t="shared" si="3"/>
        <v>0.26133219592352436</v>
      </c>
      <c r="K15" s="76">
        <f t="shared" si="3"/>
        <v>0.26133219592352436</v>
      </c>
    </row>
    <row r="16" spans="2:11">
      <c r="C16" s="13"/>
      <c r="D16" s="13"/>
      <c r="E16" s="13"/>
      <c r="G16" s="77"/>
      <c r="H16" s="77"/>
      <c r="I16" s="77"/>
      <c r="J16" s="77"/>
      <c r="K16" s="77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98</v>
      </c>
      <c r="C18" s="52">
        <f>C17/'P&amp;L assumptions'!C$9</f>
        <v>4.9895317799360059E-2</v>
      </c>
      <c r="D18" s="52">
        <f>D17/'P&amp;L assumptions'!D$9</f>
        <v>6.0223308485934532E-2</v>
      </c>
      <c r="E18" s="52">
        <f>E17/'P&amp;L assumptions'!E$9</f>
        <v>8.4480193505658316E-2</v>
      </c>
      <c r="G18" s="76">
        <f>AVERAGE($C18:$E18)</f>
        <v>6.4866273263650964E-2</v>
      </c>
      <c r="H18" s="76">
        <f t="shared" ref="H18:K18" si="4">AVERAGE($C18:$E18)</f>
        <v>6.4866273263650964E-2</v>
      </c>
      <c r="I18" s="76">
        <f t="shared" si="4"/>
        <v>6.4866273263650964E-2</v>
      </c>
      <c r="J18" s="76">
        <f t="shared" si="4"/>
        <v>6.4866273263650964E-2</v>
      </c>
      <c r="K18" s="76">
        <f t="shared" si="4"/>
        <v>6.4866273263650964E-2</v>
      </c>
    </row>
    <row r="19" spans="2:11">
      <c r="C19" s="13"/>
      <c r="D19" s="13"/>
      <c r="E19" s="13"/>
      <c r="G19" s="77"/>
      <c r="H19" s="77"/>
      <c r="I19" s="77"/>
      <c r="J19" s="77"/>
      <c r="K19" s="77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98</v>
      </c>
      <c r="C21" s="52">
        <f>C20/'P&amp;L assumptions'!C$9</f>
        <v>3.368474950574589E-2</v>
      </c>
      <c r="D21" s="52">
        <f>D20/'P&amp;L assumptions'!D$9</f>
        <v>3.0751868856630889E-2</v>
      </c>
      <c r="E21" s="52">
        <f>E20/'P&amp;L assumptions'!E$9</f>
        <v>4.0666166387016318E-2</v>
      </c>
      <c r="G21" s="76">
        <f>AVERAGE($C21:$E21)</f>
        <v>3.5034261583131034E-2</v>
      </c>
      <c r="H21" s="76">
        <f t="shared" ref="H21:K21" si="5">AVERAGE($C21:$E21)</f>
        <v>3.5034261583131034E-2</v>
      </c>
      <c r="I21" s="76">
        <f t="shared" si="5"/>
        <v>3.5034261583131034E-2</v>
      </c>
      <c r="J21" s="76">
        <f t="shared" si="5"/>
        <v>3.5034261583131034E-2</v>
      </c>
      <c r="K21" s="7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"/>
  <sheetViews>
    <sheetView tabSelected="1" workbookViewId="0">
      <selection activeCell="A2" sqref="A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0"/>
      <c r="E5" s="32"/>
      <c r="F5" s="32"/>
      <c r="G5" s="33"/>
      <c r="H5" s="33"/>
      <c r="I5" s="33"/>
      <c r="J5" s="33"/>
      <c r="K5" s="33"/>
    </row>
    <row r="6" spans="2:15">
      <c r="B6" s="44"/>
      <c r="C6" s="44"/>
      <c r="D6" s="39"/>
      <c r="E6" s="39"/>
      <c r="F6" s="39"/>
      <c r="G6" s="43"/>
      <c r="H6" s="43"/>
      <c r="I6" s="43"/>
      <c r="J6" s="43"/>
      <c r="K6" s="43"/>
      <c r="L6" s="44"/>
      <c r="M6" s="44"/>
      <c r="N6" s="44"/>
      <c r="O6" s="44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4"/>
      <c r="N7" s="44"/>
      <c r="O7" s="44"/>
    </row>
    <row r="8" spans="2:15">
      <c r="B8" s="44"/>
      <c r="C8" s="44"/>
      <c r="D8" s="45"/>
      <c r="E8" s="45"/>
      <c r="F8" s="44"/>
      <c r="G8" s="36"/>
      <c r="H8" s="36"/>
      <c r="I8" s="36"/>
      <c r="J8" s="36"/>
      <c r="K8" s="36"/>
      <c r="L8" s="44"/>
      <c r="N8" s="44"/>
      <c r="O8" s="44"/>
    </row>
    <row r="9" spans="2:15">
      <c r="B9" s="44"/>
      <c r="C9" s="44"/>
      <c r="D9" s="45"/>
      <c r="E9" s="45"/>
      <c r="F9" s="44"/>
      <c r="G9" s="36"/>
      <c r="H9" s="36"/>
      <c r="I9" s="36"/>
      <c r="J9" s="36"/>
      <c r="K9" s="36"/>
      <c r="L9" s="44"/>
      <c r="N9" s="44"/>
      <c r="O9" s="44"/>
    </row>
    <row r="10" spans="2:15">
      <c r="B10" s="44"/>
      <c r="C10" s="44"/>
      <c r="D10" s="45"/>
      <c r="E10" s="45"/>
      <c r="F10" s="44"/>
      <c r="G10" s="36"/>
      <c r="H10" s="36"/>
      <c r="I10" s="36"/>
      <c r="J10" s="36"/>
      <c r="K10" s="36"/>
      <c r="L10" s="44"/>
      <c r="N10" s="44"/>
      <c r="O10" s="44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4"/>
      <c r="N11" s="44"/>
      <c r="O11" s="44"/>
    </row>
    <row r="12" spans="2:15">
      <c r="B12" s="46"/>
      <c r="C12" s="57"/>
      <c r="D12" s="47"/>
      <c r="E12" s="47"/>
      <c r="F12" s="48"/>
      <c r="G12" s="37"/>
      <c r="H12" s="37"/>
      <c r="I12" s="37"/>
      <c r="J12" s="37"/>
      <c r="K12" s="37"/>
      <c r="L12" s="44"/>
      <c r="N12" s="44"/>
      <c r="O12" s="44"/>
    </row>
    <row r="13" spans="2:15" ht="3.75" customHeight="1">
      <c r="B13" s="46"/>
      <c r="C13" s="57"/>
      <c r="D13" s="48"/>
      <c r="E13" s="48"/>
      <c r="F13" s="48"/>
      <c r="G13" s="36"/>
      <c r="H13" s="36"/>
      <c r="I13" s="36"/>
      <c r="J13" s="36"/>
      <c r="K13" s="36"/>
      <c r="L13" s="44"/>
      <c r="N13" s="44"/>
      <c r="O13" s="44"/>
    </row>
    <row r="14" spans="2:15">
      <c r="B14" s="46"/>
      <c r="C14" s="57"/>
      <c r="D14" s="47"/>
      <c r="E14" s="47"/>
      <c r="F14" s="44"/>
      <c r="G14" s="37"/>
      <c r="H14" s="37"/>
      <c r="I14" s="37"/>
      <c r="J14" s="37"/>
      <c r="K14" s="37"/>
      <c r="L14" s="44"/>
      <c r="N14" s="44"/>
      <c r="O14" s="44"/>
    </row>
    <row r="15" spans="2:15">
      <c r="B15" s="46"/>
      <c r="C15" s="57"/>
      <c r="D15" s="47"/>
      <c r="E15" s="47"/>
      <c r="F15" s="44"/>
      <c r="G15" s="37"/>
      <c r="H15" s="37"/>
      <c r="I15" s="37"/>
      <c r="J15" s="37"/>
      <c r="K15" s="37"/>
      <c r="L15" s="44"/>
      <c r="N15" s="44"/>
      <c r="O15" s="44"/>
    </row>
    <row r="16" spans="2:15" ht="3.75" customHeight="1">
      <c r="B16" s="44"/>
      <c r="C16" s="44"/>
      <c r="D16" s="44"/>
      <c r="E16" s="44"/>
      <c r="F16" s="44"/>
      <c r="G16" s="37"/>
      <c r="H16" s="37"/>
      <c r="I16" s="37"/>
      <c r="J16" s="37"/>
      <c r="K16" s="37"/>
      <c r="L16" s="44"/>
      <c r="N16" s="44"/>
      <c r="O16" s="44"/>
    </row>
    <row r="17" spans="2:15" ht="12" customHeight="1">
      <c r="B17" s="46"/>
      <c r="C17" s="57"/>
      <c r="D17" s="47"/>
      <c r="E17" s="47"/>
      <c r="F17" s="44"/>
      <c r="G17" s="37"/>
      <c r="H17" s="37"/>
      <c r="I17" s="37"/>
      <c r="J17" s="37"/>
      <c r="K17" s="37"/>
      <c r="L17" s="44"/>
      <c r="N17" s="44"/>
      <c r="O17" s="44"/>
    </row>
    <row r="18" spans="2:15" ht="3.75" customHeight="1">
      <c r="B18" s="44"/>
      <c r="C18" s="44"/>
      <c r="D18" s="44"/>
      <c r="E18" s="44"/>
      <c r="F18" s="44"/>
      <c r="G18" s="69"/>
      <c r="H18" s="69"/>
      <c r="I18" s="69"/>
      <c r="J18" s="69"/>
      <c r="K18" s="69"/>
      <c r="L18" s="44"/>
      <c r="N18" s="44"/>
      <c r="O18" s="44"/>
    </row>
    <row r="19" spans="2:15">
      <c r="B19" s="63"/>
      <c r="C19" s="63"/>
      <c r="D19" s="64"/>
      <c r="E19" s="64"/>
      <c r="F19" s="63"/>
      <c r="G19" s="70"/>
      <c r="H19" s="70"/>
      <c r="I19" s="70"/>
      <c r="J19" s="70"/>
      <c r="K19" s="70"/>
      <c r="L19" s="44"/>
      <c r="N19" s="44"/>
      <c r="O19" s="44"/>
    </row>
    <row r="20" spans="2:15" ht="3.75" customHeight="1">
      <c r="B20" s="44"/>
      <c r="C20" s="44"/>
      <c r="D20" s="44"/>
      <c r="E20" s="44"/>
      <c r="F20" s="44"/>
      <c r="G20" s="69"/>
      <c r="H20" s="69"/>
      <c r="I20" s="69"/>
      <c r="J20" s="69"/>
      <c r="K20" s="69"/>
      <c r="L20" s="44"/>
      <c r="N20" s="44"/>
      <c r="O20" s="44"/>
    </row>
    <row r="21" spans="2:15">
      <c r="B21" s="44"/>
      <c r="C21" s="44"/>
      <c r="D21" s="45"/>
      <c r="E21" s="45"/>
      <c r="F21" s="44"/>
      <c r="G21" s="37"/>
      <c r="H21" s="37"/>
      <c r="I21" s="37"/>
      <c r="J21" s="37"/>
      <c r="K21" s="37"/>
      <c r="L21" s="44"/>
      <c r="N21" s="44"/>
      <c r="O21" s="44"/>
    </row>
    <row r="22" spans="2:15">
      <c r="B22" s="44"/>
      <c r="C22" s="44"/>
      <c r="D22" s="44"/>
      <c r="E22" s="44"/>
      <c r="F22" s="44"/>
      <c r="G22" s="37"/>
      <c r="H22" s="37"/>
      <c r="I22" s="37"/>
      <c r="J22" s="37"/>
      <c r="K22" s="37"/>
      <c r="L22" s="44"/>
      <c r="N22" s="44"/>
      <c r="O22" s="44"/>
    </row>
    <row r="23" spans="2:15">
      <c r="B23" s="44"/>
      <c r="C23" s="44"/>
      <c r="D23" s="45"/>
      <c r="E23" s="45"/>
      <c r="F23" s="44"/>
      <c r="G23" s="40"/>
      <c r="H23" s="40"/>
      <c r="I23" s="40"/>
      <c r="J23" s="40"/>
      <c r="K23" s="40"/>
      <c r="L23" s="44"/>
      <c r="N23" s="44"/>
      <c r="O23" s="44"/>
    </row>
    <row r="24" spans="2:15">
      <c r="B24" s="44"/>
      <c r="C24" s="44"/>
      <c r="D24" s="45"/>
      <c r="E24" s="45"/>
      <c r="F24" s="44"/>
      <c r="G24" s="40"/>
      <c r="H24" s="40"/>
      <c r="I24" s="40"/>
      <c r="J24" s="40"/>
      <c r="K24" s="40"/>
      <c r="L24" s="44"/>
      <c r="N24" s="44"/>
      <c r="O24" s="44"/>
    </row>
    <row r="25" spans="2:15" ht="3.75" customHeight="1"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N25" s="44"/>
      <c r="O25" s="44"/>
    </row>
    <row r="26" spans="2:15">
      <c r="B26" s="63"/>
      <c r="C26" s="63"/>
      <c r="D26" s="64"/>
      <c r="E26" s="64"/>
      <c r="F26" s="63"/>
      <c r="G26" s="64"/>
      <c r="H26" s="64"/>
      <c r="I26" s="64"/>
      <c r="J26" s="64"/>
      <c r="K26" s="64"/>
      <c r="L26" s="44"/>
      <c r="N26" s="44"/>
      <c r="O26" s="44"/>
    </row>
    <row r="27" spans="2:15"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2:15">
      <c r="B28" s="65"/>
      <c r="C28" s="65"/>
      <c r="D28" s="66"/>
      <c r="E28" s="66"/>
      <c r="F28" s="66"/>
      <c r="G28" s="66"/>
      <c r="H28" s="66"/>
      <c r="I28" s="66"/>
      <c r="J28" s="66"/>
      <c r="K28" s="66"/>
      <c r="L28" s="44"/>
    </row>
    <row r="29" spans="2:15">
      <c r="B29" s="65"/>
      <c r="C29" s="65"/>
      <c r="D29" s="66"/>
      <c r="E29" s="66"/>
      <c r="F29" s="66"/>
      <c r="G29" s="66"/>
      <c r="H29" s="66"/>
      <c r="I29" s="66"/>
      <c r="J29" s="66"/>
      <c r="K29" s="66"/>
      <c r="L29" s="44"/>
    </row>
    <row r="30" spans="2:15"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2:15" outlineLevel="1">
      <c r="B31" s="44"/>
      <c r="C31" s="44"/>
      <c r="D31" s="44"/>
      <c r="E31" s="44"/>
      <c r="F31" s="44"/>
      <c r="G31" s="45"/>
      <c r="H31" s="45"/>
      <c r="I31" s="45"/>
      <c r="J31" s="45"/>
      <c r="K31" s="45"/>
      <c r="L31" s="44"/>
    </row>
    <row r="32" spans="2:15" outlineLevel="1">
      <c r="D32" s="56"/>
      <c r="E32" s="5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58"/>
      <c r="H7" s="58"/>
      <c r="I7" s="58"/>
      <c r="J7" s="58"/>
      <c r="K7" s="58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2"/>
      <c r="H9" s="42"/>
      <c r="I9" s="42"/>
      <c r="J9" s="42"/>
      <c r="K9" s="42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2"/>
      <c r="H10" s="42"/>
      <c r="I10" s="42"/>
      <c r="J10" s="42"/>
      <c r="K10" s="42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1"/>
      <c r="C11" s="71"/>
      <c r="D11" s="71"/>
      <c r="E11" s="71"/>
      <c r="F11" s="71"/>
      <c r="G11" s="72"/>
      <c r="H11" s="72"/>
      <c r="I11" s="72"/>
      <c r="J11" s="72"/>
      <c r="K11" s="72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59"/>
      <c r="F12" s="60"/>
      <c r="G12" s="43"/>
      <c r="H12" s="42"/>
      <c r="I12" s="42"/>
      <c r="J12" s="42"/>
      <c r="K12" s="42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1"/>
      <c r="F13" s="60"/>
      <c r="G13" s="42"/>
      <c r="H13" s="42"/>
      <c r="I13" s="42"/>
      <c r="J13" s="42"/>
      <c r="K13" s="42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59"/>
      <c r="F14" s="60"/>
      <c r="G14" s="43"/>
      <c r="H14" s="42"/>
      <c r="I14" s="42"/>
      <c r="J14" s="42"/>
      <c r="K14" s="42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2"/>
      <c r="H15" s="42"/>
      <c r="I15" s="42"/>
      <c r="J15" s="42"/>
      <c r="K15" s="42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2"/>
      <c r="H16" s="42"/>
      <c r="I16" s="42"/>
      <c r="J16" s="42"/>
      <c r="K16" s="42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2"/>
      <c r="H17" s="42"/>
      <c r="I17" s="42"/>
      <c r="J17" s="42"/>
      <c r="K17" s="42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2"/>
      <c r="H18" s="42"/>
      <c r="I18" s="42"/>
      <c r="J18" s="42"/>
      <c r="K18" s="42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2"/>
      <c r="H19" s="42"/>
      <c r="I19" s="42"/>
      <c r="J19" s="42"/>
      <c r="K19" s="42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2"/>
      <c r="H20" s="42"/>
      <c r="I20" s="42"/>
      <c r="J20" s="42"/>
      <c r="K20" s="42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2"/>
      <c r="I22" s="62"/>
      <c r="J22" s="62"/>
      <c r="K22" s="62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2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2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2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2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8"/>
      <c r="K5" s="68"/>
      <c r="L5" s="68"/>
      <c r="M5" s="68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2016-06-20T15:06:49Z</dcterms:modified>
</cp:coreProperties>
</file>